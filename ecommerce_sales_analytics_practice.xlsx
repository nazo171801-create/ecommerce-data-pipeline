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Nazan\Downloads\"/>
    </mc:Choice>
  </mc:AlternateContent>
  <xr:revisionPtr revIDLastSave="0" documentId="13_ncr:1_{8FCF7282-CC10-47F6-B22E-2B38317C605A}" xr6:coauthVersionLast="47" xr6:coauthVersionMax="47" xr10:uidLastSave="{00000000-0000-0000-0000-000000000000}"/>
  <bookViews>
    <workbookView minimized="1" xWindow="4776" yWindow="4152" windowWidth="17280" windowHeight="8880" activeTab="1" xr2:uid="{00000000-000D-0000-FFFF-FFFF00000000}"/>
  </bookViews>
  <sheets>
    <sheet name="Sayfa1" sheetId="3" r:id="rId1"/>
    <sheet name="Sales_Data" sheetId="1" r:id="rId2"/>
    <sheet name="Read_Me" sheetId="2" r:id="rId3"/>
  </sheets>
  <calcPr calcId="191029"/>
  <pivotCaches>
    <pivotCache cacheId="15" r:id="rId4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31" i="1" l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1" i="1"/>
  <c r="M8" i="1"/>
  <c r="M6" i="1"/>
</calcChain>
</file>

<file path=xl/sharedStrings.xml><?xml version="1.0" encoding="utf-8"?>
<sst xmlns="http://schemas.openxmlformats.org/spreadsheetml/2006/main" count="5260" uniqueCount="1012">
  <si>
    <t>Order ID</t>
  </si>
  <si>
    <t>Order Date</t>
  </si>
  <si>
    <t>Customer</t>
  </si>
  <si>
    <t>City</t>
  </si>
  <si>
    <t>Product</t>
  </si>
  <si>
    <t>Category</t>
  </si>
  <si>
    <t>Quantity</t>
  </si>
  <si>
    <t>Unit Price</t>
  </si>
  <si>
    <t>Discount</t>
  </si>
  <si>
    <t>Revenue</t>
  </si>
  <si>
    <t>Payment Method</t>
  </si>
  <si>
    <t>Customer Segment</t>
  </si>
  <si>
    <t>ORD-10001</t>
  </si>
  <si>
    <t>Customer 122</t>
  </si>
  <si>
    <t>Izmir</t>
  </si>
  <si>
    <t>Smartphone</t>
  </si>
  <si>
    <t>Electronics</t>
  </si>
  <si>
    <t>Digital Wallet</t>
  </si>
  <si>
    <t>Consumer</t>
  </si>
  <si>
    <t>ORD-10002</t>
  </si>
  <si>
    <t>Customer 88</t>
  </si>
  <si>
    <t>Bursa</t>
  </si>
  <si>
    <t>Coffee Machine</t>
  </si>
  <si>
    <t>Home &amp; Office</t>
  </si>
  <si>
    <t>Debit Card</t>
  </si>
  <si>
    <t>ORD-10003</t>
  </si>
  <si>
    <t>Customer 89</t>
  </si>
  <si>
    <t>Istanbul</t>
  </si>
  <si>
    <t>Wireless Headphones</t>
  </si>
  <si>
    <t>Corporate</t>
  </si>
  <si>
    <t>ORD-10004</t>
  </si>
  <si>
    <t>Customer 190</t>
  </si>
  <si>
    <t>Bank Transfer</t>
  </si>
  <si>
    <t>ORD-10005</t>
  </si>
  <si>
    <t>Customer 18</t>
  </si>
  <si>
    <t>Backpack</t>
  </si>
  <si>
    <t>Accessories</t>
  </si>
  <si>
    <t>Credit Card</t>
  </si>
  <si>
    <t>Small Business</t>
  </si>
  <si>
    <t>ORD-10006</t>
  </si>
  <si>
    <t>Customer 175</t>
  </si>
  <si>
    <t>Hoodie</t>
  </si>
  <si>
    <t>Fashion</t>
  </si>
  <si>
    <t>ORD-10007</t>
  </si>
  <si>
    <t>Customer 54</t>
  </si>
  <si>
    <t>Antalya</t>
  </si>
  <si>
    <t>ORD-10008</t>
  </si>
  <si>
    <t>Customer 200</t>
  </si>
  <si>
    <t>Adana</t>
  </si>
  <si>
    <t>Office Chair</t>
  </si>
  <si>
    <t>ORD-10009</t>
  </si>
  <si>
    <t>Customer 154</t>
  </si>
  <si>
    <t>Smart Watch</t>
  </si>
  <si>
    <t>ORD-10010</t>
  </si>
  <si>
    <t>ORD-10011</t>
  </si>
  <si>
    <t>Customer 41</t>
  </si>
  <si>
    <t>Laptop</t>
  </si>
  <si>
    <t>ORD-10012</t>
  </si>
  <si>
    <t>Customer 99</t>
  </si>
  <si>
    <t>ORD-10013</t>
  </si>
  <si>
    <t>Customer 218</t>
  </si>
  <si>
    <t>Kocaeli</t>
  </si>
  <si>
    <t>Desk Lamp</t>
  </si>
  <si>
    <t>ORD-10014</t>
  </si>
  <si>
    <t>Customer 63</t>
  </si>
  <si>
    <t>ORD-10015</t>
  </si>
  <si>
    <t>Customer 29</t>
  </si>
  <si>
    <t>ORD-10016</t>
  </si>
  <si>
    <t>Customer 28</t>
  </si>
  <si>
    <t>ORD-10017</t>
  </si>
  <si>
    <t>ORD-10018</t>
  </si>
  <si>
    <t>Customer 62</t>
  </si>
  <si>
    <t>ORD-10019</t>
  </si>
  <si>
    <t>Customer 180</t>
  </si>
  <si>
    <t>ORD-10020</t>
  </si>
  <si>
    <t>Customer 184</t>
  </si>
  <si>
    <t>ORD-10021</t>
  </si>
  <si>
    <t>Customer 130</t>
  </si>
  <si>
    <t>ORD-10022</t>
  </si>
  <si>
    <t>Customer 38</t>
  </si>
  <si>
    <t>ORD-10023</t>
  </si>
  <si>
    <t>Customer 70</t>
  </si>
  <si>
    <t>ORD-10024</t>
  </si>
  <si>
    <t>Customer 199</t>
  </si>
  <si>
    <t>Sneakers</t>
  </si>
  <si>
    <t>ORD-10025</t>
  </si>
  <si>
    <t>Customer 159</t>
  </si>
  <si>
    <t>ORD-10026</t>
  </si>
  <si>
    <t>Customer 129</t>
  </si>
  <si>
    <t>ORD-10027</t>
  </si>
  <si>
    <t>Customer 131</t>
  </si>
  <si>
    <t>ORD-10028</t>
  </si>
  <si>
    <t>Customer 84</t>
  </si>
  <si>
    <t>ORD-10029</t>
  </si>
  <si>
    <t>ORD-10030</t>
  </si>
  <si>
    <t>Customer 195</t>
  </si>
  <si>
    <t>ORD-10031</t>
  </si>
  <si>
    <t>Customer 109</t>
  </si>
  <si>
    <t>ORD-10032</t>
  </si>
  <si>
    <t>Customer 48</t>
  </si>
  <si>
    <t>ORD-10033</t>
  </si>
  <si>
    <t>ORD-10034</t>
  </si>
  <si>
    <t>Customer 191</t>
  </si>
  <si>
    <t>ORD-10035</t>
  </si>
  <si>
    <t>Customer 58</t>
  </si>
  <si>
    <t>ORD-10036</t>
  </si>
  <si>
    <t>Customer 104</t>
  </si>
  <si>
    <t>ORD-10037</t>
  </si>
  <si>
    <t>Customer 60</t>
  </si>
  <si>
    <t>Ankara</t>
  </si>
  <si>
    <t>ORD-10038</t>
  </si>
  <si>
    <t>Customer 92</t>
  </si>
  <si>
    <t>ORD-10039</t>
  </si>
  <si>
    <t>ORD-10040</t>
  </si>
  <si>
    <t>Customer 53</t>
  </si>
  <si>
    <t>ORD-10041</t>
  </si>
  <si>
    <t>Customer 55</t>
  </si>
  <si>
    <t>ORD-10042</t>
  </si>
  <si>
    <t>ORD-10043</t>
  </si>
  <si>
    <t>ORD-10044</t>
  </si>
  <si>
    <t>Customer 189</t>
  </si>
  <si>
    <t>ORD-10045</t>
  </si>
  <si>
    <t>Customer 185</t>
  </si>
  <si>
    <t>ORD-10046</t>
  </si>
  <si>
    <t>ORD-10047</t>
  </si>
  <si>
    <t>Customer 34</t>
  </si>
  <si>
    <t>ORD-10048</t>
  </si>
  <si>
    <t>Customer 24</t>
  </si>
  <si>
    <t>ORD-10049</t>
  </si>
  <si>
    <t>Customer 161</t>
  </si>
  <si>
    <t>ORD-10050</t>
  </si>
  <si>
    <t>Customer 141</t>
  </si>
  <si>
    <t>ORD-10051</t>
  </si>
  <si>
    <t>ORD-10052</t>
  </si>
  <si>
    <t>Customer 157</t>
  </si>
  <si>
    <t>ORD-10053</t>
  </si>
  <si>
    <t>ORD-10054</t>
  </si>
  <si>
    <t>Customer 13</t>
  </si>
  <si>
    <t>ORD-10055</t>
  </si>
  <si>
    <t>Customer 19</t>
  </si>
  <si>
    <t>ORD-10056</t>
  </si>
  <si>
    <t>Customer 83</t>
  </si>
  <si>
    <t>ORD-10057</t>
  </si>
  <si>
    <t>Customer 151</t>
  </si>
  <si>
    <t>ORD-10058</t>
  </si>
  <si>
    <t>Customer 75</t>
  </si>
  <si>
    <t>ORD-10059</t>
  </si>
  <si>
    <t>Customer 168</t>
  </si>
  <si>
    <t>ORD-10060</t>
  </si>
  <si>
    <t>Customer 65</t>
  </si>
  <si>
    <t>ORD-10061</t>
  </si>
  <si>
    <t>ORD-10062</t>
  </si>
  <si>
    <t>Customer 220</t>
  </si>
  <si>
    <t>ORD-10063</t>
  </si>
  <si>
    <t>ORD-10064</t>
  </si>
  <si>
    <t>Customer 160</t>
  </si>
  <si>
    <t>ORD-10065</t>
  </si>
  <si>
    <t>Customer 20</t>
  </si>
  <si>
    <t>ORD-10066</t>
  </si>
  <si>
    <t>Customer 144</t>
  </si>
  <si>
    <t>ORD-10067</t>
  </si>
  <si>
    <t>ORD-10068</t>
  </si>
  <si>
    <t>Customer 155</t>
  </si>
  <si>
    <t>ORD-10069</t>
  </si>
  <si>
    <t>Customer 35</t>
  </si>
  <si>
    <t>ORD-10070</t>
  </si>
  <si>
    <t>ORD-10071</t>
  </si>
  <si>
    <t>ORD-10072</t>
  </si>
  <si>
    <t>Customer 6</t>
  </si>
  <si>
    <t>ORD-10073</t>
  </si>
  <si>
    <t>Customer 202</t>
  </si>
  <si>
    <t>ORD-10074</t>
  </si>
  <si>
    <t>ORD-10075</t>
  </si>
  <si>
    <t>Customer 193</t>
  </si>
  <si>
    <t>ORD-10076</t>
  </si>
  <si>
    <t>Customer 85</t>
  </si>
  <si>
    <t>ORD-10077</t>
  </si>
  <si>
    <t>Customer 30</t>
  </si>
  <si>
    <t>ORD-10078</t>
  </si>
  <si>
    <t>Customer 106</t>
  </si>
  <si>
    <t>ORD-10079</t>
  </si>
  <si>
    <t>ORD-10080</t>
  </si>
  <si>
    <t>Customer 183</t>
  </si>
  <si>
    <t>ORD-10081</t>
  </si>
  <si>
    <t>ORD-10082</t>
  </si>
  <si>
    <t>Customer 22</t>
  </si>
  <si>
    <t>ORD-10083</t>
  </si>
  <si>
    <t>ORD-10084</t>
  </si>
  <si>
    <t>Customer 81</t>
  </si>
  <si>
    <t>ORD-10085</t>
  </si>
  <si>
    <t>Customer 14</t>
  </si>
  <si>
    <t>ORD-10086</t>
  </si>
  <si>
    <t>Customer 3</t>
  </si>
  <si>
    <t>ORD-10087</t>
  </si>
  <si>
    <t>Customer 192</t>
  </si>
  <si>
    <t>ORD-10088</t>
  </si>
  <si>
    <t>Customer 25</t>
  </si>
  <si>
    <t>ORD-10089</t>
  </si>
  <si>
    <t>Customer 214</t>
  </si>
  <si>
    <t>ORD-10090</t>
  </si>
  <si>
    <t>Customer 64</t>
  </si>
  <si>
    <t>ORD-10091</t>
  </si>
  <si>
    <t>ORD-10092</t>
  </si>
  <si>
    <t>ORD-10093</t>
  </si>
  <si>
    <t>Customer 79</t>
  </si>
  <si>
    <t>ORD-10094</t>
  </si>
  <si>
    <t>Customer 179</t>
  </si>
  <si>
    <t>ORD-10095</t>
  </si>
  <si>
    <t>Customer 47</t>
  </si>
  <si>
    <t>ORD-10096</t>
  </si>
  <si>
    <t>ORD-10097</t>
  </si>
  <si>
    <t>ORD-10098</t>
  </si>
  <si>
    <t>Customer 49</t>
  </si>
  <si>
    <t>ORD-10099</t>
  </si>
  <si>
    <t>Customer 1</t>
  </si>
  <si>
    <t>ORD-10100</t>
  </si>
  <si>
    <t>Customer 165</t>
  </si>
  <si>
    <t>ORD-10101</t>
  </si>
  <si>
    <t>Customer 72</t>
  </si>
  <si>
    <t>ORD-10102</t>
  </si>
  <si>
    <t>Customer 145</t>
  </si>
  <si>
    <t>ORD-10103</t>
  </si>
  <si>
    <t>Customer 67</t>
  </si>
  <si>
    <t>ORD-10104</t>
  </si>
  <si>
    <t>ORD-10105</t>
  </si>
  <si>
    <t>Customer 66</t>
  </si>
  <si>
    <t>ORD-10106</t>
  </si>
  <si>
    <t>ORD-10107</t>
  </si>
  <si>
    <t>Customer 164</t>
  </si>
  <si>
    <t>ORD-10108</t>
  </si>
  <si>
    <t>Customer 23</t>
  </si>
  <si>
    <t>ORD-10109</t>
  </si>
  <si>
    <t>ORD-10110</t>
  </si>
  <si>
    <t>ORD-10111</t>
  </si>
  <si>
    <t>Customer 46</t>
  </si>
  <si>
    <t>ORD-10112</t>
  </si>
  <si>
    <t>ORD-10113</t>
  </si>
  <si>
    <t>Customer 90</t>
  </si>
  <si>
    <t>ORD-10114</t>
  </si>
  <si>
    <t>ORD-10115</t>
  </si>
  <si>
    <t>ORD-10116</t>
  </si>
  <si>
    <t>ORD-10117</t>
  </si>
  <si>
    <t>Customer 158</t>
  </si>
  <si>
    <t>ORD-10118</t>
  </si>
  <si>
    <t>Customer 194</t>
  </si>
  <si>
    <t>ORD-10119</t>
  </si>
  <si>
    <t>Customer 103</t>
  </si>
  <si>
    <t>ORD-10120</t>
  </si>
  <si>
    <t>Customer 178</t>
  </si>
  <si>
    <t>ORD-10121</t>
  </si>
  <si>
    <t>ORD-10122</t>
  </si>
  <si>
    <t>Customer 78</t>
  </si>
  <si>
    <t>ORD-10123</t>
  </si>
  <si>
    <t>Customer 74</t>
  </si>
  <si>
    <t>ORD-10124</t>
  </si>
  <si>
    <t>ORD-10125</t>
  </si>
  <si>
    <t>Customer 37</t>
  </si>
  <si>
    <t>ORD-10126</t>
  </si>
  <si>
    <t>ORD-10127</t>
  </si>
  <si>
    <t>Customer 9</t>
  </si>
  <si>
    <t>ORD-10128</t>
  </si>
  <si>
    <t>ORD-10129</t>
  </si>
  <si>
    <t>Customer 17</t>
  </si>
  <si>
    <t>ORD-10130</t>
  </si>
  <si>
    <t>Customer 134</t>
  </si>
  <si>
    <t>ORD-10131</t>
  </si>
  <si>
    <t>ORD-10132</t>
  </si>
  <si>
    <t>Customer 149</t>
  </si>
  <si>
    <t>ORD-10133</t>
  </si>
  <si>
    <t>Customer 111</t>
  </si>
  <si>
    <t>ORD-10134</t>
  </si>
  <si>
    <t>ORD-10135</t>
  </si>
  <si>
    <t>Customer 217</t>
  </si>
  <si>
    <t>ORD-10136</t>
  </si>
  <si>
    <t>Customer 98</t>
  </si>
  <si>
    <t>ORD-10137</t>
  </si>
  <si>
    <t>Customer 12</t>
  </si>
  <si>
    <t>ORD-10138</t>
  </si>
  <si>
    <t>ORD-10139</t>
  </si>
  <si>
    <t>Customer 16</t>
  </si>
  <si>
    <t>ORD-10140</t>
  </si>
  <si>
    <t>Customer 115</t>
  </si>
  <si>
    <t>ORD-10141</t>
  </si>
  <si>
    <t>ORD-10142</t>
  </si>
  <si>
    <t>Customer 215</t>
  </si>
  <si>
    <t>ORD-10143</t>
  </si>
  <si>
    <t>Customer 170</t>
  </si>
  <si>
    <t>ORD-10144</t>
  </si>
  <si>
    <t>ORD-10145</t>
  </si>
  <si>
    <t>ORD-10146</t>
  </si>
  <si>
    <t>ORD-10147</t>
  </si>
  <si>
    <t>Customer 143</t>
  </si>
  <si>
    <t>ORD-10148</t>
  </si>
  <si>
    <t>Customer 39</t>
  </si>
  <si>
    <t>ORD-10149</t>
  </si>
  <si>
    <t>Customer 148</t>
  </si>
  <si>
    <t>ORD-10150</t>
  </si>
  <si>
    <t>ORD-10151</t>
  </si>
  <si>
    <t>Customer 123</t>
  </si>
  <si>
    <t>ORD-10152</t>
  </si>
  <si>
    <t>Customer 125</t>
  </si>
  <si>
    <t>ORD-10153</t>
  </si>
  <si>
    <t>Customer 137</t>
  </si>
  <si>
    <t>ORD-10154</t>
  </si>
  <si>
    <t>Customer 216</t>
  </si>
  <si>
    <t>ORD-10155</t>
  </si>
  <si>
    <t>Customer 205</t>
  </si>
  <si>
    <t>ORD-10156</t>
  </si>
  <si>
    <t>Customer 56</t>
  </si>
  <si>
    <t>ORD-10157</t>
  </si>
  <si>
    <t>Customer 59</t>
  </si>
  <si>
    <t>ORD-10158</t>
  </si>
  <si>
    <t>Customer 7</t>
  </si>
  <si>
    <t>ORD-10159</t>
  </si>
  <si>
    <t>ORD-10160</t>
  </si>
  <si>
    <t>ORD-10161</t>
  </si>
  <si>
    <t>Customer 211</t>
  </si>
  <si>
    <t>ORD-10162</t>
  </si>
  <si>
    <t>Customer 196</t>
  </si>
  <si>
    <t>ORD-10163</t>
  </si>
  <si>
    <t>ORD-10164</t>
  </si>
  <si>
    <t>ORD-10165</t>
  </si>
  <si>
    <t>ORD-10166</t>
  </si>
  <si>
    <t>ORD-10167</t>
  </si>
  <si>
    <t>ORD-10168</t>
  </si>
  <si>
    <t>ORD-10169</t>
  </si>
  <si>
    <t>Customer 208</t>
  </si>
  <si>
    <t>ORD-10170</t>
  </si>
  <si>
    <t>ORD-10171</t>
  </si>
  <si>
    <t>Customer 206</t>
  </si>
  <si>
    <t>ORD-10172</t>
  </si>
  <si>
    <t>Customer 117</t>
  </si>
  <si>
    <t>ORD-10173</t>
  </si>
  <si>
    <t>Customer 110</t>
  </si>
  <si>
    <t>ORD-10174</t>
  </si>
  <si>
    <t>ORD-10175</t>
  </si>
  <si>
    <t>ORD-10176</t>
  </si>
  <si>
    <t>Customer 116</t>
  </si>
  <si>
    <t>ORD-10177</t>
  </si>
  <si>
    <t>Customer 119</t>
  </si>
  <si>
    <t>ORD-10178</t>
  </si>
  <si>
    <t>ORD-10179</t>
  </si>
  <si>
    <t>Customer 203</t>
  </si>
  <si>
    <t>ORD-10180</t>
  </si>
  <si>
    <t>ORD-10181</t>
  </si>
  <si>
    <t>Customer 100</t>
  </si>
  <si>
    <t>ORD-10182</t>
  </si>
  <si>
    <t>Customer 150</t>
  </si>
  <si>
    <t>ORD-10183</t>
  </si>
  <si>
    <t>Customer 97</t>
  </si>
  <si>
    <t>ORD-10184</t>
  </si>
  <si>
    <t>Customer 108</t>
  </si>
  <si>
    <t>ORD-10185</t>
  </si>
  <si>
    <t>ORD-10186</t>
  </si>
  <si>
    <t>ORD-10187</t>
  </si>
  <si>
    <t>ORD-10188</t>
  </si>
  <si>
    <t>ORD-10189</t>
  </si>
  <si>
    <t>ORD-10190</t>
  </si>
  <si>
    <t>ORD-10191</t>
  </si>
  <si>
    <t>ORD-10192</t>
  </si>
  <si>
    <t>Customer 44</t>
  </si>
  <si>
    <t>ORD-10193</t>
  </si>
  <si>
    <t>ORD-10194</t>
  </si>
  <si>
    <t>ORD-10195</t>
  </si>
  <si>
    <t>ORD-10196</t>
  </si>
  <si>
    <t>Customer 45</t>
  </si>
  <si>
    <t>ORD-10197</t>
  </si>
  <si>
    <t>Customer 96</t>
  </si>
  <si>
    <t>ORD-10198</t>
  </si>
  <si>
    <t>Customer 210</t>
  </si>
  <si>
    <t>ORD-10199</t>
  </si>
  <si>
    <t>ORD-10200</t>
  </si>
  <si>
    <t>Customer 198</t>
  </si>
  <si>
    <t>ORD-10201</t>
  </si>
  <si>
    <t>ORD-10202</t>
  </si>
  <si>
    <t>ORD-10203</t>
  </si>
  <si>
    <t>ORD-10204</t>
  </si>
  <si>
    <t>ORD-10205</t>
  </si>
  <si>
    <t>ORD-10206</t>
  </si>
  <si>
    <t>ORD-10207</t>
  </si>
  <si>
    <t>Customer 124</t>
  </si>
  <si>
    <t>ORD-10208</t>
  </si>
  <si>
    <t>ORD-10209</t>
  </si>
  <si>
    <t>ORD-10210</t>
  </si>
  <si>
    <t>ORD-10211</t>
  </si>
  <si>
    <t>ORD-10212</t>
  </si>
  <si>
    <t>Customer 21</t>
  </si>
  <si>
    <t>ORD-10213</t>
  </si>
  <si>
    <t>Customer 152</t>
  </si>
  <si>
    <t>ORD-10214</t>
  </si>
  <si>
    <t>Customer 146</t>
  </si>
  <si>
    <t>ORD-10215</t>
  </si>
  <si>
    <t>ORD-10216</t>
  </si>
  <si>
    <t>Customer 77</t>
  </si>
  <si>
    <t>ORD-10217</t>
  </si>
  <si>
    <t>Customer 167</t>
  </si>
  <si>
    <t>ORD-10218</t>
  </si>
  <si>
    <t>ORD-10219</t>
  </si>
  <si>
    <t>Customer 169</t>
  </si>
  <si>
    <t>ORD-10220</t>
  </si>
  <si>
    <t>ORD-10221</t>
  </si>
  <si>
    <t>Customer 102</t>
  </si>
  <si>
    <t>ORD-10222</t>
  </si>
  <si>
    <t>Customer 31</t>
  </si>
  <si>
    <t>ORD-10223</t>
  </si>
  <si>
    <t>Customer 212</t>
  </si>
  <si>
    <t>ORD-10224</t>
  </si>
  <si>
    <t>ORD-10225</t>
  </si>
  <si>
    <t>Customer 204</t>
  </si>
  <si>
    <t>ORD-10226</t>
  </si>
  <si>
    <t>Customer 2</t>
  </si>
  <si>
    <t>ORD-10227</t>
  </si>
  <si>
    <t>ORD-10228</t>
  </si>
  <si>
    <t>Customer 166</t>
  </si>
  <si>
    <t>ORD-10229</t>
  </si>
  <si>
    <t>Customer 73</t>
  </si>
  <si>
    <t>ORD-10230</t>
  </si>
  <si>
    <t>ORD-10231</t>
  </si>
  <si>
    <t>ORD-10232</t>
  </si>
  <si>
    <t>ORD-10233</t>
  </si>
  <si>
    <t>ORD-10234</t>
  </si>
  <si>
    <t>ORD-10235</t>
  </si>
  <si>
    <t>ORD-10236</t>
  </si>
  <si>
    <t>Customer 4</t>
  </si>
  <si>
    <t>ORD-10237</t>
  </si>
  <si>
    <t>ORD-10238</t>
  </si>
  <si>
    <t>ORD-10239</t>
  </si>
  <si>
    <t>ORD-10240</t>
  </si>
  <si>
    <t>Customer 181</t>
  </si>
  <si>
    <t>ORD-10241</t>
  </si>
  <si>
    <t>ORD-10242</t>
  </si>
  <si>
    <t>ORD-10243</t>
  </si>
  <si>
    <t>ORD-10244</t>
  </si>
  <si>
    <t>ORD-10245</t>
  </si>
  <si>
    <t>Customer 101</t>
  </si>
  <si>
    <t>ORD-10246</t>
  </si>
  <si>
    <t>ORD-10247</t>
  </si>
  <si>
    <t>Customer 51</t>
  </si>
  <si>
    <t>ORD-10248</t>
  </si>
  <si>
    <t>ORD-10249</t>
  </si>
  <si>
    <t>ORD-10250</t>
  </si>
  <si>
    <t>ORD-10251</t>
  </si>
  <si>
    <t>ORD-10252</t>
  </si>
  <si>
    <t>Customer 172</t>
  </si>
  <si>
    <t>ORD-10253</t>
  </si>
  <si>
    <t>ORD-10254</t>
  </si>
  <si>
    <t>ORD-10255</t>
  </si>
  <si>
    <t>Customer 50</t>
  </si>
  <si>
    <t>ORD-10256</t>
  </si>
  <si>
    <t>ORD-10257</t>
  </si>
  <si>
    <t>Customer 136</t>
  </si>
  <si>
    <t>ORD-10258</t>
  </si>
  <si>
    <t>ORD-10259</t>
  </si>
  <si>
    <t>ORD-10260</t>
  </si>
  <si>
    <t>Customer 162</t>
  </si>
  <si>
    <t>ORD-10261</t>
  </si>
  <si>
    <t>Customer 132</t>
  </si>
  <si>
    <t>ORD-10262</t>
  </si>
  <si>
    <t>ORD-10263</t>
  </si>
  <si>
    <t>ORD-10264</t>
  </si>
  <si>
    <t>Customer 82</t>
  </si>
  <si>
    <t>ORD-10265</t>
  </si>
  <si>
    <t>ORD-10266</t>
  </si>
  <si>
    <t>ORD-10267</t>
  </si>
  <si>
    <t>ORD-10268</t>
  </si>
  <si>
    <t>ORD-10269</t>
  </si>
  <si>
    <t>Customer 113</t>
  </si>
  <si>
    <t>ORD-10270</t>
  </si>
  <si>
    <t>ORD-10271</t>
  </si>
  <si>
    <t>ORD-10272</t>
  </si>
  <si>
    <t>Customer 182</t>
  </si>
  <si>
    <t>ORD-10273</t>
  </si>
  <si>
    <t>ORD-10274</t>
  </si>
  <si>
    <t>ORD-10275</t>
  </si>
  <si>
    <t>ORD-10276</t>
  </si>
  <si>
    <t>ORD-10277</t>
  </si>
  <si>
    <t>ORD-10278</t>
  </si>
  <si>
    <t>ORD-10279</t>
  </si>
  <si>
    <t>ORD-10280</t>
  </si>
  <si>
    <t>ORD-10281</t>
  </si>
  <si>
    <t>ORD-10282</t>
  </si>
  <si>
    <t>ORD-10283</t>
  </si>
  <si>
    <t>ORD-10284</t>
  </si>
  <si>
    <t>Customer 153</t>
  </si>
  <si>
    <t>ORD-10285</t>
  </si>
  <si>
    <t>ORD-10286</t>
  </si>
  <si>
    <t>ORD-10287</t>
  </si>
  <si>
    <t>ORD-10288</t>
  </si>
  <si>
    <t>ORD-10289</t>
  </si>
  <si>
    <t>ORD-10290</t>
  </si>
  <si>
    <t>ORD-10291</t>
  </si>
  <si>
    <t>ORD-10292</t>
  </si>
  <si>
    <t>ORD-10293</t>
  </si>
  <si>
    <t>ORD-10294</t>
  </si>
  <si>
    <t>ORD-10295</t>
  </si>
  <si>
    <t>Customer 128</t>
  </si>
  <si>
    <t>ORD-10296</t>
  </si>
  <si>
    <t>ORD-10297</t>
  </si>
  <si>
    <t>Customer 87</t>
  </si>
  <si>
    <t>ORD-10298</t>
  </si>
  <si>
    <t>ORD-10299</t>
  </si>
  <si>
    <t>ORD-10300</t>
  </si>
  <si>
    <t>ORD-10301</t>
  </si>
  <si>
    <t>ORD-10302</t>
  </si>
  <si>
    <t>ORD-10303</t>
  </si>
  <si>
    <t>ORD-10304</t>
  </si>
  <si>
    <t>ORD-10305</t>
  </si>
  <si>
    <t>Customer 105</t>
  </si>
  <si>
    <t>ORD-10306</t>
  </si>
  <si>
    <t>ORD-10307</t>
  </si>
  <si>
    <t>ORD-10308</t>
  </si>
  <si>
    <t>ORD-10309</t>
  </si>
  <si>
    <t>Customer 93</t>
  </si>
  <si>
    <t>ORD-10310</t>
  </si>
  <si>
    <t>ORD-10311</t>
  </si>
  <si>
    <t>ORD-10312</t>
  </si>
  <si>
    <t>ORD-10313</t>
  </si>
  <si>
    <t>ORD-10314</t>
  </si>
  <si>
    <t>ORD-10315</t>
  </si>
  <si>
    <t>ORD-10316</t>
  </si>
  <si>
    <t>Customer 11</t>
  </si>
  <si>
    <t>ORD-10317</t>
  </si>
  <si>
    <t>ORD-10318</t>
  </si>
  <si>
    <t>ORD-10319</t>
  </si>
  <si>
    <t>ORD-10320</t>
  </si>
  <si>
    <t>ORD-10321</t>
  </si>
  <si>
    <t>ORD-10322</t>
  </si>
  <si>
    <t>ORD-10323</t>
  </si>
  <si>
    <t>Customer 213</t>
  </si>
  <si>
    <t>ORD-10324</t>
  </si>
  <si>
    <t>ORD-10325</t>
  </si>
  <si>
    <t>ORD-10326</t>
  </si>
  <si>
    <t>Customer 118</t>
  </si>
  <si>
    <t>ORD-10327</t>
  </si>
  <si>
    <t>ORD-10328</t>
  </si>
  <si>
    <t>Customer 139</t>
  </si>
  <si>
    <t>ORD-10329</t>
  </si>
  <si>
    <t>ORD-10330</t>
  </si>
  <si>
    <t>ORD-10331</t>
  </si>
  <si>
    <t>ORD-10332</t>
  </si>
  <si>
    <t>Customer 201</t>
  </si>
  <si>
    <t>ORD-10333</t>
  </si>
  <si>
    <t>Customer 69</t>
  </si>
  <si>
    <t>ORD-10334</t>
  </si>
  <si>
    <t>ORD-10335</t>
  </si>
  <si>
    <t>ORD-10336</t>
  </si>
  <si>
    <t>ORD-10337</t>
  </si>
  <si>
    <t>Customer 5</t>
  </si>
  <si>
    <t>ORD-10338</t>
  </si>
  <si>
    <t>ORD-10339</t>
  </si>
  <si>
    <t>ORD-10340</t>
  </si>
  <si>
    <t>ORD-10341</t>
  </si>
  <si>
    <t>ORD-10342</t>
  </si>
  <si>
    <t>ORD-10343</t>
  </si>
  <si>
    <t>ORD-10344</t>
  </si>
  <si>
    <t>ORD-10345</t>
  </si>
  <si>
    <t>Customer 57</t>
  </si>
  <si>
    <t>ORD-10346</t>
  </si>
  <si>
    <t>ORD-10347</t>
  </si>
  <si>
    <t>Customer 127</t>
  </si>
  <si>
    <t>ORD-10348</t>
  </si>
  <si>
    <t>ORD-10349</t>
  </si>
  <si>
    <t>Customer 61</t>
  </si>
  <si>
    <t>ORD-10350</t>
  </si>
  <si>
    <t>Customer 188</t>
  </si>
  <si>
    <t>ORD-10351</t>
  </si>
  <si>
    <t>ORD-10352</t>
  </si>
  <si>
    <t>ORD-10353</t>
  </si>
  <si>
    <t>Customer 10</t>
  </si>
  <si>
    <t>ORD-10354</t>
  </si>
  <si>
    <t>ORD-10355</t>
  </si>
  <si>
    <t>ORD-10356</t>
  </si>
  <si>
    <t>ORD-10357</t>
  </si>
  <si>
    <t>ORD-10358</t>
  </si>
  <si>
    <t>ORD-10359</t>
  </si>
  <si>
    <t>ORD-10360</t>
  </si>
  <si>
    <t>ORD-10361</t>
  </si>
  <si>
    <t>Customer 140</t>
  </si>
  <si>
    <t>ORD-10362</t>
  </si>
  <si>
    <t>ORD-10363</t>
  </si>
  <si>
    <t>ORD-10364</t>
  </si>
  <si>
    <t>ORD-10365</t>
  </si>
  <si>
    <t>ORD-10366</t>
  </si>
  <si>
    <t>ORD-10367</t>
  </si>
  <si>
    <t>ORD-10368</t>
  </si>
  <si>
    <t>ORD-10369</t>
  </si>
  <si>
    <t>ORD-10370</t>
  </si>
  <si>
    <t>Customer 33</t>
  </si>
  <si>
    <t>ORD-10371</t>
  </si>
  <si>
    <t>ORD-10372</t>
  </si>
  <si>
    <t>ORD-10373</t>
  </si>
  <si>
    <t>ORD-10374</t>
  </si>
  <si>
    <t>ORD-10375</t>
  </si>
  <si>
    <t>ORD-10376</t>
  </si>
  <si>
    <t>ORD-10377</t>
  </si>
  <si>
    <t>Customer 114</t>
  </si>
  <si>
    <t>ORD-10378</t>
  </si>
  <si>
    <t>ORD-10379</t>
  </si>
  <si>
    <t>ORD-10380</t>
  </si>
  <si>
    <t>ORD-10381</t>
  </si>
  <si>
    <t>ORD-10382</t>
  </si>
  <si>
    <t>ORD-10383</t>
  </si>
  <si>
    <t>Customer 80</t>
  </si>
  <si>
    <t>ORD-10384</t>
  </si>
  <si>
    <t>Customer 171</t>
  </si>
  <si>
    <t>ORD-10385</t>
  </si>
  <si>
    <t>Customer 36</t>
  </si>
  <si>
    <t>ORD-10386</t>
  </si>
  <si>
    <t>ORD-10387</t>
  </si>
  <si>
    <t>ORD-10388</t>
  </si>
  <si>
    <t>Customer 94</t>
  </si>
  <si>
    <t>ORD-10389</t>
  </si>
  <si>
    <t>Customer 91</t>
  </si>
  <si>
    <t>ORD-10390</t>
  </si>
  <si>
    <t>ORD-10391</t>
  </si>
  <si>
    <t>Customer 197</t>
  </si>
  <si>
    <t>ORD-10392</t>
  </si>
  <si>
    <t>Customer 71</t>
  </si>
  <si>
    <t>ORD-10393</t>
  </si>
  <si>
    <t>ORD-10394</t>
  </si>
  <si>
    <t>ORD-10395</t>
  </si>
  <si>
    <t>ORD-10396</t>
  </si>
  <si>
    <t>ORD-10397</t>
  </si>
  <si>
    <t>ORD-10398</t>
  </si>
  <si>
    <t>ORD-10399</t>
  </si>
  <si>
    <t>ORD-10400</t>
  </si>
  <si>
    <t>ORD-10401</t>
  </si>
  <si>
    <t>Customer 209</t>
  </si>
  <si>
    <t>ORD-10402</t>
  </si>
  <si>
    <t>ORD-10403</t>
  </si>
  <si>
    <t>ORD-10404</t>
  </si>
  <si>
    <t>ORD-10405</t>
  </si>
  <si>
    <t>Customer 112</t>
  </si>
  <si>
    <t>ORD-10406</t>
  </si>
  <si>
    <t>ORD-10407</t>
  </si>
  <si>
    <t>ORD-10408</t>
  </si>
  <si>
    <t>ORD-10409</t>
  </si>
  <si>
    <t>ORD-10410</t>
  </si>
  <si>
    <t>ORD-10411</t>
  </si>
  <si>
    <t>ORD-10412</t>
  </si>
  <si>
    <t>ORD-10413</t>
  </si>
  <si>
    <t>ORD-10414</t>
  </si>
  <si>
    <t>ORD-10415</t>
  </si>
  <si>
    <t>ORD-10416</t>
  </si>
  <si>
    <t>Customer 177</t>
  </si>
  <si>
    <t>ORD-10417</t>
  </si>
  <si>
    <t>ORD-10418</t>
  </si>
  <si>
    <t>ORD-10419</t>
  </si>
  <si>
    <t>ORD-10420</t>
  </si>
  <si>
    <t>ORD-10421</t>
  </si>
  <si>
    <t>ORD-10422</t>
  </si>
  <si>
    <t>ORD-10423</t>
  </si>
  <si>
    <t>ORD-10424</t>
  </si>
  <si>
    <t>ORD-10425</t>
  </si>
  <si>
    <t>ORD-10426</t>
  </si>
  <si>
    <t>ORD-10427</t>
  </si>
  <si>
    <t>ORD-10428</t>
  </si>
  <si>
    <t>Customer 174</t>
  </si>
  <si>
    <t>ORD-10429</t>
  </si>
  <si>
    <t>ORD-10430</t>
  </si>
  <si>
    <t>ORD-10431</t>
  </si>
  <si>
    <t>Customer 107</t>
  </si>
  <si>
    <t>ORD-10432</t>
  </si>
  <si>
    <t>ORD-10433</t>
  </si>
  <si>
    <t>Customer 121</t>
  </si>
  <si>
    <t>ORD-10434</t>
  </si>
  <si>
    <t>ORD-10435</t>
  </si>
  <si>
    <t>ORD-10436</t>
  </si>
  <si>
    <t>Customer 133</t>
  </si>
  <si>
    <t>ORD-10437</t>
  </si>
  <si>
    <t>ORD-10438</t>
  </si>
  <si>
    <t>ORD-10439</t>
  </si>
  <si>
    <t>ORD-10440</t>
  </si>
  <si>
    <t>Customer 126</t>
  </si>
  <si>
    <t>ORD-10441</t>
  </si>
  <si>
    <t>ORD-10442</t>
  </si>
  <si>
    <t>ORD-10443</t>
  </si>
  <si>
    <t>ORD-10444</t>
  </si>
  <si>
    <t>ORD-10445</t>
  </si>
  <si>
    <t>ORD-10446</t>
  </si>
  <si>
    <t>ORD-10447</t>
  </si>
  <si>
    <t>ORD-10448</t>
  </si>
  <si>
    <t>ORD-10449</t>
  </si>
  <si>
    <t>ORD-10450</t>
  </si>
  <si>
    <t>ORD-10451</t>
  </si>
  <si>
    <t>ORD-10452</t>
  </si>
  <si>
    <t>ORD-10453</t>
  </si>
  <si>
    <t>ORD-10454</t>
  </si>
  <si>
    <t>ORD-10455</t>
  </si>
  <si>
    <t>ORD-10456</t>
  </si>
  <si>
    <t>ORD-10457</t>
  </si>
  <si>
    <t>Customer 138</t>
  </si>
  <si>
    <t>ORD-10458</t>
  </si>
  <si>
    <t>ORD-10459</t>
  </si>
  <si>
    <t>Customer 156</t>
  </si>
  <si>
    <t>ORD-10460</t>
  </si>
  <si>
    <t>ORD-10461</t>
  </si>
  <si>
    <t>ORD-10462</t>
  </si>
  <si>
    <t>Customer 176</t>
  </si>
  <si>
    <t>ORD-10463</t>
  </si>
  <si>
    <t>ORD-10464</t>
  </si>
  <si>
    <t>ORD-10465</t>
  </si>
  <si>
    <t>ORD-10466</t>
  </si>
  <si>
    <t>ORD-10467</t>
  </si>
  <si>
    <t>Customer 186</t>
  </si>
  <si>
    <t>ORD-10468</t>
  </si>
  <si>
    <t>ORD-10469</t>
  </si>
  <si>
    <t>ORD-10470</t>
  </si>
  <si>
    <t>ORD-10471</t>
  </si>
  <si>
    <t>ORD-10472</t>
  </si>
  <si>
    <t>ORD-10473</t>
  </si>
  <si>
    <t>ORD-10474</t>
  </si>
  <si>
    <t>ORD-10475</t>
  </si>
  <si>
    <t>ORD-10476</t>
  </si>
  <si>
    <t>ORD-10477</t>
  </si>
  <si>
    <t>ORD-10478</t>
  </si>
  <si>
    <t>ORD-10479</t>
  </si>
  <si>
    <t>ORD-10480</t>
  </si>
  <si>
    <t>ORD-10481</t>
  </si>
  <si>
    <t>ORD-10482</t>
  </si>
  <si>
    <t>ORD-10483</t>
  </si>
  <si>
    <t>ORD-10484</t>
  </si>
  <si>
    <t>ORD-10485</t>
  </si>
  <si>
    <t>ORD-10486</t>
  </si>
  <si>
    <t>ORD-10487</t>
  </si>
  <si>
    <t>ORD-10488</t>
  </si>
  <si>
    <t>ORD-10489</t>
  </si>
  <si>
    <t>ORD-10490</t>
  </si>
  <si>
    <t>ORD-10491</t>
  </si>
  <si>
    <t>ORD-10492</t>
  </si>
  <si>
    <t>ORD-10493</t>
  </si>
  <si>
    <t>ORD-10494</t>
  </si>
  <si>
    <t>ORD-10495</t>
  </si>
  <si>
    <t>ORD-10496</t>
  </si>
  <si>
    <t>ORD-10497</t>
  </si>
  <si>
    <t>ORD-10498</t>
  </si>
  <si>
    <t>ORD-10499</t>
  </si>
  <si>
    <t>ORD-10500</t>
  </si>
  <si>
    <t>Customer 32</t>
  </si>
  <si>
    <t>ORD-10501</t>
  </si>
  <si>
    <t>ORD-10502</t>
  </si>
  <si>
    <t>ORD-10503</t>
  </si>
  <si>
    <t>ORD-10504</t>
  </si>
  <si>
    <t>ORD-10505</t>
  </si>
  <si>
    <t>ORD-10506</t>
  </si>
  <si>
    <t>ORD-10507</t>
  </si>
  <si>
    <t>ORD-10508</t>
  </si>
  <si>
    <t>Customer 76</t>
  </si>
  <si>
    <t>ORD-10509</t>
  </si>
  <si>
    <t>ORD-10510</t>
  </si>
  <si>
    <t>Customer 15</t>
  </si>
  <si>
    <t>ORD-10511</t>
  </si>
  <si>
    <t>ORD-10512</t>
  </si>
  <si>
    <t>ORD-10513</t>
  </si>
  <si>
    <t>ORD-10514</t>
  </si>
  <si>
    <t>ORD-10515</t>
  </si>
  <si>
    <t>ORD-10516</t>
  </si>
  <si>
    <t>ORD-10517</t>
  </si>
  <si>
    <t>ORD-10518</t>
  </si>
  <si>
    <t>ORD-10519</t>
  </si>
  <si>
    <t>ORD-10520</t>
  </si>
  <si>
    <t>ORD-10521</t>
  </si>
  <si>
    <t>ORD-10522</t>
  </si>
  <si>
    <t>ORD-10523</t>
  </si>
  <si>
    <t>ORD-10524</t>
  </si>
  <si>
    <t>ORD-10525</t>
  </si>
  <si>
    <t>Customer 163</t>
  </si>
  <si>
    <t>ORD-10526</t>
  </si>
  <si>
    <t>ORD-10527</t>
  </si>
  <si>
    <t>Customer 68</t>
  </si>
  <si>
    <t>ORD-10528</t>
  </si>
  <si>
    <t>ORD-10529</t>
  </si>
  <si>
    <t>ORD-10530</t>
  </si>
  <si>
    <t>ORD-10531</t>
  </si>
  <si>
    <t>ORD-10532</t>
  </si>
  <si>
    <t>ORD-10533</t>
  </si>
  <si>
    <t>ORD-10534</t>
  </si>
  <si>
    <t>ORD-10535</t>
  </si>
  <si>
    <t>ORD-10536</t>
  </si>
  <si>
    <t>ORD-10537</t>
  </si>
  <si>
    <t>ORD-10538</t>
  </si>
  <si>
    <t>ORD-10539</t>
  </si>
  <si>
    <t>ORD-10540</t>
  </si>
  <si>
    <t>ORD-10541</t>
  </si>
  <si>
    <t>ORD-10542</t>
  </si>
  <si>
    <t>ORD-10543</t>
  </si>
  <si>
    <t>ORD-10544</t>
  </si>
  <si>
    <t>ORD-10545</t>
  </si>
  <si>
    <t>ORD-10546</t>
  </si>
  <si>
    <t>ORD-10547</t>
  </si>
  <si>
    <t>Customer 147</t>
  </si>
  <si>
    <t>ORD-10548</t>
  </si>
  <si>
    <t>ORD-10549</t>
  </si>
  <si>
    <t>ORD-10550</t>
  </si>
  <si>
    <t>Customer 95</t>
  </si>
  <si>
    <t>ORD-10551</t>
  </si>
  <si>
    <t>ORD-10552</t>
  </si>
  <si>
    <t>ORD-10553</t>
  </si>
  <si>
    <t>ORD-10554</t>
  </si>
  <si>
    <t>Customer 27</t>
  </si>
  <si>
    <t>ORD-10555</t>
  </si>
  <si>
    <t>ORD-10556</t>
  </si>
  <si>
    <t>ORD-10557</t>
  </si>
  <si>
    <t>ORD-10558</t>
  </si>
  <si>
    <t>ORD-10559</t>
  </si>
  <si>
    <t>ORD-10560</t>
  </si>
  <si>
    <t>ORD-10561</t>
  </si>
  <si>
    <t>ORD-10562</t>
  </si>
  <si>
    <t>ORD-10563</t>
  </si>
  <si>
    <t>ORD-10564</t>
  </si>
  <si>
    <t>ORD-10565</t>
  </si>
  <si>
    <t>ORD-10566</t>
  </si>
  <si>
    <t>ORD-10567</t>
  </si>
  <si>
    <t>ORD-10568</t>
  </si>
  <si>
    <t>ORD-10569</t>
  </si>
  <si>
    <t>ORD-10570</t>
  </si>
  <si>
    <t>ORD-10571</t>
  </si>
  <si>
    <t>ORD-10572</t>
  </si>
  <si>
    <t>ORD-10573</t>
  </si>
  <si>
    <t>Customer 207</t>
  </si>
  <si>
    <t>ORD-10574</t>
  </si>
  <si>
    <t>ORD-10575</t>
  </si>
  <si>
    <t>ORD-10576</t>
  </si>
  <si>
    <t>ORD-10577</t>
  </si>
  <si>
    <t>ORD-10578</t>
  </si>
  <si>
    <t>Customer 26</t>
  </si>
  <si>
    <t>ORD-10579</t>
  </si>
  <si>
    <t>ORD-10580</t>
  </si>
  <si>
    <t>ORD-10581</t>
  </si>
  <si>
    <t>ORD-10582</t>
  </si>
  <si>
    <t>ORD-10583</t>
  </si>
  <si>
    <t>ORD-10584</t>
  </si>
  <si>
    <t>ORD-10585</t>
  </si>
  <si>
    <t>ORD-10586</t>
  </si>
  <si>
    <t>ORD-10587</t>
  </si>
  <si>
    <t>ORD-10588</t>
  </si>
  <si>
    <t>ORD-10589</t>
  </si>
  <si>
    <t>ORD-10590</t>
  </si>
  <si>
    <t>Customer 135</t>
  </si>
  <si>
    <t>ORD-10591</t>
  </si>
  <si>
    <t>ORD-10592</t>
  </si>
  <si>
    <t>ORD-10593</t>
  </si>
  <si>
    <t>ORD-10594</t>
  </si>
  <si>
    <t>ORD-10595</t>
  </si>
  <si>
    <t>ORD-10596</t>
  </si>
  <si>
    <t>ORD-10597</t>
  </si>
  <si>
    <t>ORD-10598</t>
  </si>
  <si>
    <t>ORD-10599</t>
  </si>
  <si>
    <t>ORD-10600</t>
  </si>
  <si>
    <t>ORD-10601</t>
  </si>
  <si>
    <t>ORD-10602</t>
  </si>
  <si>
    <t>Customer 173</t>
  </si>
  <si>
    <t>ORD-10603</t>
  </si>
  <si>
    <t>ORD-10604</t>
  </si>
  <si>
    <t>ORD-10605</t>
  </si>
  <si>
    <t>ORD-10606</t>
  </si>
  <si>
    <t>ORD-10607</t>
  </si>
  <si>
    <t>ORD-10608</t>
  </si>
  <si>
    <t>ORD-10609</t>
  </si>
  <si>
    <t>ORD-10610</t>
  </si>
  <si>
    <t>ORD-10611</t>
  </si>
  <si>
    <t>ORD-10612</t>
  </si>
  <si>
    <t>ORD-10613</t>
  </si>
  <si>
    <t>ORD-10614</t>
  </si>
  <si>
    <t>ORD-10615</t>
  </si>
  <si>
    <t>ORD-10616</t>
  </si>
  <si>
    <t>ORD-10617</t>
  </si>
  <si>
    <t>ORD-10618</t>
  </si>
  <si>
    <t>ORD-10619</t>
  </si>
  <si>
    <t>ORD-10620</t>
  </si>
  <si>
    <t>ORD-10621</t>
  </si>
  <si>
    <t>Customer 42</t>
  </si>
  <si>
    <t>ORD-10622</t>
  </si>
  <si>
    <t>ORD-10623</t>
  </si>
  <si>
    <t>ORD-10624</t>
  </si>
  <si>
    <t>ORD-10625</t>
  </si>
  <si>
    <t>ORD-10626</t>
  </si>
  <si>
    <t>ORD-10627</t>
  </si>
  <si>
    <t>ORD-10628</t>
  </si>
  <si>
    <t>ORD-10629</t>
  </si>
  <si>
    <t>ORD-10630</t>
  </si>
  <si>
    <t>ORD-10631</t>
  </si>
  <si>
    <t>ORD-10632</t>
  </si>
  <si>
    <t>ORD-10633</t>
  </si>
  <si>
    <t>ORD-10634</t>
  </si>
  <si>
    <t>ORD-10635</t>
  </si>
  <si>
    <t>ORD-10636</t>
  </si>
  <si>
    <t>ORD-10637</t>
  </si>
  <si>
    <t>ORD-10638</t>
  </si>
  <si>
    <t>ORD-10639</t>
  </si>
  <si>
    <t>ORD-10640</t>
  </si>
  <si>
    <t>ORD-10641</t>
  </si>
  <si>
    <t>ORD-10642</t>
  </si>
  <si>
    <t>ORD-10643</t>
  </si>
  <si>
    <t>ORD-10644</t>
  </si>
  <si>
    <t>ORD-10645</t>
  </si>
  <si>
    <t>ORD-10646</t>
  </si>
  <si>
    <t>ORD-10647</t>
  </si>
  <si>
    <t>ORD-10648</t>
  </si>
  <si>
    <t>Customer 52</t>
  </si>
  <si>
    <t>ORD-10649</t>
  </si>
  <si>
    <t>ORD-10650</t>
  </si>
  <si>
    <t>ORD-10651</t>
  </si>
  <si>
    <t>ORD-10652</t>
  </si>
  <si>
    <t>ORD-10653</t>
  </si>
  <si>
    <t>ORD-10654</t>
  </si>
  <si>
    <t>ORD-10655</t>
  </si>
  <si>
    <t>ORD-10656</t>
  </si>
  <si>
    <t>ORD-10657</t>
  </si>
  <si>
    <t>ORD-10658</t>
  </si>
  <si>
    <t>ORD-10659</t>
  </si>
  <si>
    <t>ORD-10660</t>
  </si>
  <si>
    <t>ORD-10661</t>
  </si>
  <si>
    <t>ORD-10662</t>
  </si>
  <si>
    <t>ORD-10663</t>
  </si>
  <si>
    <t>ORD-10664</t>
  </si>
  <si>
    <t>ORD-10665</t>
  </si>
  <si>
    <t>ORD-10666</t>
  </si>
  <si>
    <t>ORD-10667</t>
  </si>
  <si>
    <t>ORD-10668</t>
  </si>
  <si>
    <t>ORD-10669</t>
  </si>
  <si>
    <t>ORD-10670</t>
  </si>
  <si>
    <t>ORD-10671</t>
  </si>
  <si>
    <t>ORD-10672</t>
  </si>
  <si>
    <t>ORD-10673</t>
  </si>
  <si>
    <t>ORD-10674</t>
  </si>
  <si>
    <t>ORD-10675</t>
  </si>
  <si>
    <t>ORD-10676</t>
  </si>
  <si>
    <t>ORD-10677</t>
  </si>
  <si>
    <t>ORD-10678</t>
  </si>
  <si>
    <t>ORD-10679</t>
  </si>
  <si>
    <t>ORD-10680</t>
  </si>
  <si>
    <t>ORD-10681</t>
  </si>
  <si>
    <t>ORD-10682</t>
  </si>
  <si>
    <t>ORD-10683</t>
  </si>
  <si>
    <t>ORD-10684</t>
  </si>
  <si>
    <t>ORD-10685</t>
  </si>
  <si>
    <t>ORD-10686</t>
  </si>
  <si>
    <t>ORD-10687</t>
  </si>
  <si>
    <t>ORD-10688</t>
  </si>
  <si>
    <t>ORD-10689</t>
  </si>
  <si>
    <t>ORD-10690</t>
  </si>
  <si>
    <t>ORD-10691</t>
  </si>
  <si>
    <t>ORD-10692</t>
  </si>
  <si>
    <t>ORD-10693</t>
  </si>
  <si>
    <t>ORD-10694</t>
  </si>
  <si>
    <t>ORD-10695</t>
  </si>
  <si>
    <t>ORD-10696</t>
  </si>
  <si>
    <t>ORD-10697</t>
  </si>
  <si>
    <t>ORD-10698</t>
  </si>
  <si>
    <t>ORD-10699</t>
  </si>
  <si>
    <t>ORD-10700</t>
  </si>
  <si>
    <t>ORD-10701</t>
  </si>
  <si>
    <t>ORD-10702</t>
  </si>
  <si>
    <t>Customer 219</t>
  </si>
  <si>
    <t>ORD-10703</t>
  </si>
  <si>
    <t>ORD-10704</t>
  </si>
  <si>
    <t>ORD-10705</t>
  </si>
  <si>
    <t>ORD-10706</t>
  </si>
  <si>
    <t>ORD-10707</t>
  </si>
  <si>
    <t>ORD-10708</t>
  </si>
  <si>
    <t>ORD-10709</t>
  </si>
  <si>
    <t>ORD-10710</t>
  </si>
  <si>
    <t>ORD-10711</t>
  </si>
  <si>
    <t>ORD-10712</t>
  </si>
  <si>
    <t>ORD-10713</t>
  </si>
  <si>
    <t>ORD-10714</t>
  </si>
  <si>
    <t>ORD-10715</t>
  </si>
  <si>
    <t>ORD-10716</t>
  </si>
  <si>
    <t>ORD-10717</t>
  </si>
  <si>
    <t>ORD-10718</t>
  </si>
  <si>
    <t>ORD-10719</t>
  </si>
  <si>
    <t>ORD-10720</t>
  </si>
  <si>
    <t>ORD-10721</t>
  </si>
  <si>
    <t>ORD-10722</t>
  </si>
  <si>
    <t>ORD-10723</t>
  </si>
  <si>
    <t>Customer 120</t>
  </si>
  <si>
    <t>ORD-10724</t>
  </si>
  <si>
    <t>Customer 40</t>
  </si>
  <si>
    <t>ORD-10725</t>
  </si>
  <si>
    <t>ORD-10726</t>
  </si>
  <si>
    <t>ORD-10727</t>
  </si>
  <si>
    <t>ORD-10728</t>
  </si>
  <si>
    <t>ORD-10729</t>
  </si>
  <si>
    <t>ORD-10730</t>
  </si>
  <si>
    <t>ORD-10731</t>
  </si>
  <si>
    <t>ORD-10732</t>
  </si>
  <si>
    <t>ORD-10733</t>
  </si>
  <si>
    <t>ORD-10734</t>
  </si>
  <si>
    <t>ORD-10735</t>
  </si>
  <si>
    <t>ORD-10736</t>
  </si>
  <si>
    <t>ORD-10737</t>
  </si>
  <si>
    <t>ORD-10738</t>
  </si>
  <si>
    <t>ORD-10739</t>
  </si>
  <si>
    <t>ORD-10740</t>
  </si>
  <si>
    <t>ORD-10741</t>
  </si>
  <si>
    <t>ORD-10742</t>
  </si>
  <si>
    <t>ORD-10743</t>
  </si>
  <si>
    <t>ORD-10744</t>
  </si>
  <si>
    <t>ORD-10745</t>
  </si>
  <si>
    <t>ORD-10746</t>
  </si>
  <si>
    <t>ORD-10747</t>
  </si>
  <si>
    <t>ORD-10748</t>
  </si>
  <si>
    <t>ORD-10749</t>
  </si>
  <si>
    <t>ORD-10750</t>
  </si>
  <si>
    <t>Note</t>
  </si>
  <si>
    <t>Bu dosya pratik amaçlı oluşturulmuştur.</t>
  </si>
  <si>
    <t>Bazı hücreler bilerek boş bırakıldı; önce veri temizleme yapacağız.</t>
  </si>
  <si>
    <t>Revenue bazı satırlarda boş; gerektiğinde Quantity, Unit Price ve Discount üzerinden yeniden hesaplanabilir.</t>
  </si>
  <si>
    <t>Satır Etiketleri</t>
  </si>
  <si>
    <t>Genel Toplam</t>
  </si>
  <si>
    <t>Say Order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</si>
</sst>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1" fillId="0" borderId="2" xfId="0" applyFont="1" applyFill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zan" refreshedDate="46271.979777546294" createdVersion="7" refreshedVersion="7" minRefreshableVersion="3" recordCount="750" xr:uid="{70360895-D229-4057-98D0-5BDDB53D23AA}">
  <cacheSource type="worksheet">
    <worksheetSource ref="A1:L751" sheet="Sales_Data"/>
  </cacheSource>
  <cacheFields count="13">
    <cacheField name="Order ID" numFmtId="0">
      <sharedItems/>
    </cacheField>
    <cacheField name="Order Date" numFmtId="165">
      <sharedItems containsSemiMixedTypes="0" containsNonDate="0" containsDate="1" containsString="0" minDate="2025-01-02T00:00:00" maxDate="2026-01-01T00:00:00" count="318">
        <d v="2025-04-13T00:00:00"/>
        <d v="2025-09-15T00:00:00"/>
        <d v="2025-08-24T00:00:00"/>
        <d v="2025-06-24T00:00:00"/>
        <d v="2025-06-16T00:00:00"/>
        <d v="2025-09-21T00:00:00"/>
        <d v="2025-09-17T00:00:00"/>
        <d v="2025-09-28T00:00:00"/>
        <d v="2025-10-07T00:00:00"/>
        <d v="2025-01-09T00:00:00"/>
        <d v="2025-09-18T00:00:00"/>
        <d v="2025-10-20T00:00:00"/>
        <d v="2025-01-05T00:00:00"/>
        <d v="2025-06-28T00:00:00"/>
        <d v="2025-06-20T00:00:00"/>
        <d v="2025-05-14T00:00:00"/>
        <d v="2025-08-19T00:00:00"/>
        <d v="2025-05-17T00:00:00"/>
        <d v="2025-08-21T00:00:00"/>
        <d v="2025-04-23T00:00:00"/>
        <d v="2025-05-06T00:00:00"/>
        <d v="2025-09-12T00:00:00"/>
        <d v="2025-07-06T00:00:00"/>
        <d v="2025-12-18T00:00:00"/>
        <d v="2025-05-31T00:00:00"/>
        <d v="2025-01-02T00:00:00"/>
        <d v="2025-07-27T00:00:00"/>
        <d v="2025-04-14T00:00:00"/>
        <d v="2025-07-13T00:00:00"/>
        <d v="2025-05-15T00:00:00"/>
        <d v="2025-02-07T00:00:00"/>
        <d v="2025-11-13T00:00:00"/>
        <d v="2025-01-06T00:00:00"/>
        <d v="2025-04-26T00:00:00"/>
        <d v="2025-02-23T00:00:00"/>
        <d v="2025-09-30T00:00:00"/>
        <d v="2025-01-13T00:00:00"/>
        <d v="2025-05-23T00:00:00"/>
        <d v="2025-05-30T00:00:00"/>
        <d v="2025-12-21T00:00:00"/>
        <d v="2025-04-02T00:00:00"/>
        <d v="2025-02-27T00:00:00"/>
        <d v="2025-09-29T00:00:00"/>
        <d v="2025-03-27T00:00:00"/>
        <d v="2025-08-06T00:00:00"/>
        <d v="2025-04-10T00:00:00"/>
        <d v="2025-01-16T00:00:00"/>
        <d v="2025-02-02T00:00:00"/>
        <d v="2025-10-12T00:00:00"/>
        <d v="2025-04-03T00:00:00"/>
        <d v="2025-03-16T00:00:00"/>
        <d v="2025-06-26T00:00:00"/>
        <d v="2025-07-02T00:00:00"/>
        <d v="2025-02-21T00:00:00"/>
        <d v="2025-02-22T00:00:00"/>
        <d v="2025-08-03T00:00:00"/>
        <d v="2025-05-21T00:00:00"/>
        <d v="2025-12-31T00:00:00"/>
        <d v="2025-10-02T00:00:00"/>
        <d v="2025-08-30T00:00:00"/>
        <d v="2025-12-14T00:00:00"/>
        <d v="2025-06-22T00:00:00"/>
        <d v="2025-05-27T00:00:00"/>
        <d v="2025-09-16T00:00:00"/>
        <d v="2025-01-08T00:00:00"/>
        <d v="2025-07-11T00:00:00"/>
        <d v="2025-02-15T00:00:00"/>
        <d v="2025-10-09T00:00:00"/>
        <d v="2025-11-07T00:00:00"/>
        <d v="2025-07-21T00:00:00"/>
        <d v="2025-10-15T00:00:00"/>
        <d v="2025-09-25T00:00:00"/>
        <d v="2025-07-26T00:00:00"/>
        <d v="2025-12-04T00:00:00"/>
        <d v="2025-01-30T00:00:00"/>
        <d v="2025-03-10T00:00:00"/>
        <d v="2025-07-14T00:00:00"/>
        <d v="2025-10-28T00:00:00"/>
        <d v="2025-03-02T00:00:00"/>
        <d v="2025-08-02T00:00:00"/>
        <d v="2025-01-07T00:00:00"/>
        <d v="2025-01-15T00:00:00"/>
        <d v="2025-10-27T00:00:00"/>
        <d v="2025-04-21T00:00:00"/>
        <d v="2025-07-17T00:00:00"/>
        <d v="2025-09-04T00:00:00"/>
        <d v="2025-01-04T00:00:00"/>
        <d v="2025-01-26T00:00:00"/>
        <d v="2025-05-20T00:00:00"/>
        <d v="2025-03-25T00:00:00"/>
        <d v="2025-04-05T00:00:00"/>
        <d v="2025-02-04T00:00:00"/>
        <d v="2025-08-01T00:00:00"/>
        <d v="2025-10-23T00:00:00"/>
        <d v="2025-06-02T00:00:00"/>
        <d v="2025-08-04T00:00:00"/>
        <d v="2025-04-25T00:00:00"/>
        <d v="2025-07-19T00:00:00"/>
        <d v="2025-04-16T00:00:00"/>
        <d v="2025-09-14T00:00:00"/>
        <d v="2025-05-29T00:00:00"/>
        <d v="2025-01-25T00:00:00"/>
        <d v="2025-12-30T00:00:00"/>
        <d v="2025-03-04T00:00:00"/>
        <d v="2025-02-01T00:00:00"/>
        <d v="2025-02-24T00:00:00"/>
        <d v="2025-11-24T00:00:00"/>
        <d v="2025-03-29T00:00:00"/>
        <d v="2025-01-14T00:00:00"/>
        <d v="2025-01-29T00:00:00"/>
        <d v="2025-02-03T00:00:00"/>
        <d v="2025-10-14T00:00:00"/>
        <d v="2025-07-09T00:00:00"/>
        <d v="2025-12-03T00:00:00"/>
        <d v="2025-05-09T00:00:00"/>
        <d v="2025-04-12T00:00:00"/>
        <d v="2025-10-30T00:00:00"/>
        <d v="2025-09-23T00:00:00"/>
        <d v="2025-10-01T00:00:00"/>
        <d v="2025-07-04T00:00:00"/>
        <d v="2025-03-14T00:00:00"/>
        <d v="2025-03-13T00:00:00"/>
        <d v="2025-08-29T00:00:00"/>
        <d v="2025-04-30T00:00:00"/>
        <d v="2025-08-14T00:00:00"/>
        <d v="2025-06-25T00:00:00"/>
        <d v="2025-11-19T00:00:00"/>
        <d v="2025-12-19T00:00:00"/>
        <d v="2025-07-07T00:00:00"/>
        <d v="2025-06-07T00:00:00"/>
        <d v="2025-11-22T00:00:00"/>
        <d v="2025-10-05T00:00:00"/>
        <d v="2025-07-12T00:00:00"/>
        <d v="2025-08-15T00:00:00"/>
        <d v="2025-02-19T00:00:00"/>
        <d v="2025-09-24T00:00:00"/>
        <d v="2025-03-18T00:00:00"/>
        <d v="2025-08-11T00:00:00"/>
        <d v="2025-12-28T00:00:00"/>
        <d v="2025-07-30T00:00:00"/>
        <d v="2025-08-08T00:00:00"/>
        <d v="2025-12-20T00:00:00"/>
        <d v="2025-05-11T00:00:00"/>
        <d v="2025-03-21T00:00:00"/>
        <d v="2025-11-09T00:00:00"/>
        <d v="2025-06-06T00:00:00"/>
        <d v="2025-04-24T00:00:00"/>
        <d v="2025-10-16T00:00:00"/>
        <d v="2025-11-20T00:00:00"/>
        <d v="2025-12-05T00:00:00"/>
        <d v="2025-07-18T00:00:00"/>
        <d v="2025-04-27T00:00:00"/>
        <d v="2025-12-09T00:00:00"/>
        <d v="2025-11-30T00:00:00"/>
        <d v="2025-04-18T00:00:00"/>
        <d v="2025-04-28T00:00:00"/>
        <d v="2025-12-11T00:00:00"/>
        <d v="2025-06-10T00:00:00"/>
        <d v="2025-03-19T00:00:00"/>
        <d v="2025-05-05T00:00:00"/>
        <d v="2025-03-11T00:00:00"/>
        <d v="2025-11-29T00:00:00"/>
        <d v="2025-05-16T00:00:00"/>
        <d v="2025-09-05T00:00:00"/>
        <d v="2025-12-07T00:00:00"/>
        <d v="2025-02-11T00:00:00"/>
        <d v="2025-08-26T00:00:00"/>
        <d v="2025-05-26T00:00:00"/>
        <d v="2025-03-24T00:00:00"/>
        <d v="2025-03-20T00:00:00"/>
        <d v="2025-11-04T00:00:00"/>
        <d v="2025-08-09T00:00:00"/>
        <d v="2025-07-22T00:00:00"/>
        <d v="2025-03-28T00:00:00"/>
        <d v="2025-05-13T00:00:00"/>
        <d v="2025-01-28T00:00:00"/>
        <d v="2025-12-13T00:00:00"/>
        <d v="2025-10-10T00:00:00"/>
        <d v="2025-07-03T00:00:00"/>
        <d v="2025-08-12T00:00:00"/>
        <d v="2025-04-22T00:00:00"/>
        <d v="2025-05-01T00:00:00"/>
        <d v="2025-07-05T00:00:00"/>
        <d v="2025-11-06T00:00:00"/>
        <d v="2025-03-17T00:00:00"/>
        <d v="2025-05-04T00:00:00"/>
        <d v="2025-04-17T00:00:00"/>
        <d v="2025-12-22T00:00:00"/>
        <d v="2025-10-24T00:00:00"/>
        <d v="2025-07-01T00:00:00"/>
        <d v="2025-12-29T00:00:00"/>
        <d v="2025-11-10T00:00:00"/>
        <d v="2025-04-08T00:00:00"/>
        <d v="2025-11-15T00:00:00"/>
        <d v="2025-03-07T00:00:00"/>
        <d v="2025-03-30T00:00:00"/>
        <d v="2025-11-12T00:00:00"/>
        <d v="2025-09-03T00:00:00"/>
        <d v="2025-09-22T00:00:00"/>
        <d v="2025-07-29T00:00:00"/>
        <d v="2025-09-27T00:00:00"/>
        <d v="2025-10-11T00:00:00"/>
        <d v="2025-05-22T00:00:00"/>
        <d v="2025-06-21T00:00:00"/>
        <d v="2025-12-27T00:00:00"/>
        <d v="2025-08-25T00:00:00"/>
        <d v="2025-12-10T00:00:00"/>
        <d v="2025-08-31T00:00:00"/>
        <d v="2025-06-15T00:00:00"/>
        <d v="2025-12-23T00:00:00"/>
        <d v="2025-02-25T00:00:00"/>
        <d v="2025-11-17T00:00:00"/>
        <d v="2025-09-02T00:00:00"/>
        <d v="2025-03-09T00:00:00"/>
        <d v="2025-02-17T00:00:00"/>
        <d v="2025-11-21T00:00:00"/>
        <d v="2025-10-13T00:00:00"/>
        <d v="2025-03-08T00:00:00"/>
        <d v="2025-07-20T00:00:00"/>
        <d v="2025-02-14T00:00:00"/>
        <d v="2025-12-24T00:00:00"/>
        <d v="2025-09-26T00:00:00"/>
        <d v="2025-03-15T00:00:00"/>
        <d v="2025-10-17T00:00:00"/>
        <d v="2025-06-03T00:00:00"/>
        <d v="2025-11-16T00:00:00"/>
        <d v="2025-06-11T00:00:00"/>
        <d v="2025-03-06T00:00:00"/>
        <d v="2025-06-12T00:00:00"/>
        <d v="2025-02-28T00:00:00"/>
        <d v="2025-02-18T00:00:00"/>
        <d v="2025-10-29T00:00:00"/>
        <d v="2025-07-28T00:00:00"/>
        <d v="2025-10-26T00:00:00"/>
        <d v="2025-11-18T00:00:00"/>
        <d v="2025-06-30T00:00:00"/>
        <d v="2025-11-11T00:00:00"/>
        <d v="2025-04-19T00:00:00"/>
        <d v="2025-01-24T00:00:00"/>
        <d v="2025-09-11T00:00:00"/>
        <d v="2025-08-27T00:00:00"/>
        <d v="2025-07-25T00:00:00"/>
        <d v="2025-09-08T00:00:00"/>
        <d v="2025-05-08T00:00:00"/>
        <d v="2025-07-08T00:00:00"/>
        <d v="2025-02-16T00:00:00"/>
        <d v="2025-01-17T00:00:00"/>
        <d v="2025-08-07T00:00:00"/>
        <d v="2025-05-28T00:00:00"/>
        <d v="2025-06-13T00:00:00"/>
        <d v="2025-05-25T00:00:00"/>
        <d v="2025-06-19T00:00:00"/>
        <d v="2025-11-27T00:00:00"/>
        <d v="2025-01-23T00:00:00"/>
        <d v="2025-06-01T00:00:00"/>
        <d v="2025-10-22T00:00:00"/>
        <d v="2025-11-05T00:00:00"/>
        <d v="2025-05-19T00:00:00"/>
        <d v="2025-07-23T00:00:00"/>
        <d v="2025-06-27T00:00:00"/>
        <d v="2025-08-18T00:00:00"/>
        <d v="2025-09-10T00:00:00"/>
        <d v="2025-10-31T00:00:00"/>
        <d v="2025-09-13T00:00:00"/>
        <d v="2025-01-19T00:00:00"/>
        <d v="2025-08-10T00:00:00"/>
        <d v="2025-10-19T00:00:00"/>
        <d v="2025-06-04T00:00:00"/>
        <d v="2025-01-11T00:00:00"/>
        <d v="2025-07-10T00:00:00"/>
        <d v="2025-06-29T00:00:00"/>
        <d v="2025-06-05T00:00:00"/>
        <d v="2025-09-07T00:00:00"/>
        <d v="2025-02-09T00:00:00"/>
        <d v="2025-11-03T00:00:00"/>
        <d v="2025-12-01T00:00:00"/>
        <d v="2025-10-25T00:00:00"/>
        <d v="2025-04-11T00:00:00"/>
        <d v="2025-08-16T00:00:00"/>
        <d v="2025-11-25T00:00:00"/>
        <d v="2025-05-24T00:00:00"/>
        <d v="2025-11-02T00:00:00"/>
        <d v="2025-10-08T00:00:00"/>
        <d v="2025-02-08T00:00:00"/>
        <d v="2025-07-31T00:00:00"/>
        <d v="2025-12-06T00:00:00"/>
        <d v="2025-11-01T00:00:00"/>
        <d v="2025-06-18T00:00:00"/>
        <d v="2025-09-06T00:00:00"/>
        <d v="2025-11-23T00:00:00"/>
        <d v="2025-10-06T00:00:00"/>
        <d v="2025-04-04T00:00:00"/>
        <d v="2025-12-02T00:00:00"/>
        <d v="2025-11-26T00:00:00"/>
        <d v="2025-04-09T00:00:00"/>
        <d v="2025-05-10T00:00:00"/>
        <d v="2025-07-16T00:00:00"/>
        <d v="2025-08-20T00:00:00"/>
        <d v="2025-01-10T00:00:00"/>
        <d v="2025-06-23T00:00:00"/>
        <d v="2025-03-31T00:00:00"/>
        <d v="2025-10-18T00:00:00"/>
        <d v="2025-12-16T00:00:00"/>
        <d v="2025-11-14T00:00:00"/>
        <d v="2025-02-13T00:00:00"/>
        <d v="2025-04-15T00:00:00"/>
        <d v="2025-02-10T00:00:00"/>
        <d v="2025-03-12T00:00:00"/>
        <d v="2025-01-18T00:00:00"/>
        <d v="2025-06-08T00:00:00"/>
        <d v="2025-10-21T00:00:00"/>
        <d v="2025-12-17T00:00:00"/>
        <d v="2025-03-03T00:00:00"/>
        <d v="2025-04-07T00:00:00"/>
        <d v="2025-10-04T00:00:00"/>
        <d v="2025-02-26T00:00:00"/>
        <d v="2025-09-09T00:00:00"/>
        <d v="2025-12-25T00:00:00"/>
      </sharedItems>
      <fieldGroup par="12" base="1">
        <rangePr groupBy="days" startDate="2025-01-02T00:00:00" endDate="2026-01-01T00:00:00"/>
        <groupItems count="368">
          <s v="&lt;2.01.2025"/>
          <s v="1.Oca"/>
          <s v="2.Oca"/>
          <s v="3.Oca"/>
          <s v="4.Oca"/>
          <s v="5.Oca"/>
          <s v="6.Oca"/>
          <s v="7.Oca"/>
          <s v="8.Oca"/>
          <s v="9.Oca"/>
          <s v="10.Oca"/>
          <s v="11.Oca"/>
          <s v="12.Oca"/>
          <s v="13.Oca"/>
          <s v="14.Oca"/>
          <s v="15.Oca"/>
          <s v="16.Oca"/>
          <s v="17.Oca"/>
          <s v="18.Oca"/>
          <s v="19.Oca"/>
          <s v="20.Oca"/>
          <s v="21.Oca"/>
          <s v="22.Oca"/>
          <s v="23.Oca"/>
          <s v="24.Oca"/>
          <s v="25.Oca"/>
          <s v="26.Oca"/>
          <s v="27.Oca"/>
          <s v="28.Oca"/>
          <s v="29.Oca"/>
          <s v="30.Oca"/>
          <s v="31.Oca"/>
          <s v="1.Şub"/>
          <s v="2.Şub"/>
          <s v="3.Şub"/>
          <s v="4.Şub"/>
          <s v="5.Şub"/>
          <s v="6.Şub"/>
          <s v="7.Şub"/>
          <s v="8.Şub"/>
          <s v="9.Şub"/>
          <s v="10.Şub"/>
          <s v="11.Şub"/>
          <s v="12.Şub"/>
          <s v="13.Şub"/>
          <s v="14.Şub"/>
          <s v="15.Şub"/>
          <s v="16.Şub"/>
          <s v="17.Şub"/>
          <s v="18.Şub"/>
          <s v="19.Şub"/>
          <s v="20.Şub"/>
          <s v="21.Şub"/>
          <s v="22.Şub"/>
          <s v="23.Şub"/>
          <s v="24.Şub"/>
          <s v="25.Şub"/>
          <s v="26.Şub"/>
          <s v="27.Şub"/>
          <s v="28.Şub"/>
          <s v="29.Şub"/>
          <s v="1.Mar"/>
          <s v="2.Mar"/>
          <s v="3.Mar"/>
          <s v="4.Mar"/>
          <s v="5.Mar"/>
          <s v="6.Mar"/>
          <s v="7.Mar"/>
          <s v="8.Mar"/>
          <s v="9.Mar"/>
          <s v="10.Mar"/>
          <s v="11.Mar"/>
          <s v="12.Mar"/>
          <s v="13.Mar"/>
          <s v="14.Mar"/>
          <s v="15.Mar"/>
          <s v="16.Mar"/>
          <s v="17.Mar"/>
          <s v="18.Mar"/>
          <s v="19.Mar"/>
          <s v="20.Mar"/>
          <s v="21.Mar"/>
          <s v="22.Mar"/>
          <s v="23.Mar"/>
          <s v="24.Mar"/>
          <s v="25.Mar"/>
          <s v="26.Mar"/>
          <s v="27.Mar"/>
          <s v="28.Mar"/>
          <s v="29.Mar"/>
          <s v="30.Mar"/>
          <s v="31.Mar"/>
          <s v="1.Nis"/>
          <s v="2.Nis"/>
          <s v="3.Nis"/>
          <s v="4.Nis"/>
          <s v="5.Nis"/>
          <s v="6.Nis"/>
          <s v="7.Nis"/>
          <s v="8.Nis"/>
          <s v="9.Nis"/>
          <s v="10.Nis"/>
          <s v="11.Nis"/>
          <s v="12.Nis"/>
          <s v="13.Nis"/>
          <s v="14.Nis"/>
          <s v="15.Nis"/>
          <s v="16.Nis"/>
          <s v="17.Nis"/>
          <s v="18.Nis"/>
          <s v="19.Nis"/>
          <s v="20.Nis"/>
          <s v="21.Nis"/>
          <s v="22.Nis"/>
          <s v="23.Nis"/>
          <s v="24.Nis"/>
          <s v="25.Nis"/>
          <s v="26.Nis"/>
          <s v="27.Nis"/>
          <s v="28.Nis"/>
          <s v="29.Nis"/>
          <s v="30.Nis"/>
          <s v="1.May"/>
          <s v="2.May"/>
          <s v="3.May"/>
          <s v="4.May"/>
          <s v="5.May"/>
          <s v="6.May"/>
          <s v="7.May"/>
          <s v="8.May"/>
          <s v="9.May"/>
          <s v="10.May"/>
          <s v="11.May"/>
          <s v="12.May"/>
          <s v="13.May"/>
          <s v="14.May"/>
          <s v="15.May"/>
          <s v="16.May"/>
          <s v="17.May"/>
          <s v="18.May"/>
          <s v="19.May"/>
          <s v="20.May"/>
          <s v="21.May"/>
          <s v="22.May"/>
          <s v="23.May"/>
          <s v="24.May"/>
          <s v="25.May"/>
          <s v="26.May"/>
          <s v="27.May"/>
          <s v="28.May"/>
          <s v="29.May"/>
          <s v="30.May"/>
          <s v="31.May"/>
          <s v="1.Haz"/>
          <s v="2.Haz"/>
          <s v="3.Haz"/>
          <s v="4.Haz"/>
          <s v="5.Haz"/>
          <s v="6.Haz"/>
          <s v="7.Haz"/>
          <s v="8.Haz"/>
          <s v="9.Haz"/>
          <s v="10.Haz"/>
          <s v="11.Haz"/>
          <s v="12.Haz"/>
          <s v="13.Haz"/>
          <s v="14.Haz"/>
          <s v="15.Haz"/>
          <s v="16.Haz"/>
          <s v="17.Haz"/>
          <s v="18.Haz"/>
          <s v="19.Haz"/>
          <s v="20.Haz"/>
          <s v="21.Haz"/>
          <s v="22.Haz"/>
          <s v="23.Haz"/>
          <s v="24.Haz"/>
          <s v="25.Haz"/>
          <s v="26.Haz"/>
          <s v="27.Haz"/>
          <s v="28.Haz"/>
          <s v="29.Haz"/>
          <s v="30.Haz"/>
          <s v="1.Tem"/>
          <s v="2.Tem"/>
          <s v="3.Tem"/>
          <s v="4.Tem"/>
          <s v="5.Tem"/>
          <s v="6.Tem"/>
          <s v="7.Tem"/>
          <s v="8.Tem"/>
          <s v="9.Tem"/>
          <s v="10.Tem"/>
          <s v="11.Tem"/>
          <s v="12.Tem"/>
          <s v="13.Tem"/>
          <s v="14.Tem"/>
          <s v="15.Tem"/>
          <s v="16.Tem"/>
          <s v="17.Tem"/>
          <s v="18.Tem"/>
          <s v="19.Tem"/>
          <s v="20.Tem"/>
          <s v="21.Tem"/>
          <s v="22.Tem"/>
          <s v="23.Tem"/>
          <s v="24.Tem"/>
          <s v="25.Tem"/>
          <s v="26.Tem"/>
          <s v="27.Tem"/>
          <s v="28.Tem"/>
          <s v="29.Tem"/>
          <s v="30.Tem"/>
          <s v="31.Tem"/>
          <s v="1.Ağu"/>
          <s v="2.Ağu"/>
          <s v="3.Ağu"/>
          <s v="4.Ağu"/>
          <s v="5.Ağu"/>
          <s v="6.Ağu"/>
          <s v="7.Ağu"/>
          <s v="8.Ağu"/>
          <s v="9.Ağu"/>
          <s v="10.Ağu"/>
          <s v="11.Ağu"/>
          <s v="12.Ağu"/>
          <s v="13.Ağu"/>
          <s v="14.Ağu"/>
          <s v="15.Ağu"/>
          <s v="16.Ağu"/>
          <s v="17.Ağu"/>
          <s v="18.Ağu"/>
          <s v="19.Ağu"/>
          <s v="20.Ağu"/>
          <s v="21.Ağu"/>
          <s v="22.Ağu"/>
          <s v="23.Ağu"/>
          <s v="24.Ağu"/>
          <s v="25.Ağu"/>
          <s v="26.Ağu"/>
          <s v="27.Ağu"/>
          <s v="28.Ağu"/>
          <s v="29.Ağu"/>
          <s v="30.Ağu"/>
          <s v="31.Ağu"/>
          <s v="1.Eyl"/>
          <s v="2.Eyl"/>
          <s v="3.Eyl"/>
          <s v="4.Eyl"/>
          <s v="5.Eyl"/>
          <s v="6.Eyl"/>
          <s v="7.Eyl"/>
          <s v="8.Eyl"/>
          <s v="9.Eyl"/>
          <s v="10.Eyl"/>
          <s v="11.Eyl"/>
          <s v="12.Eyl"/>
          <s v="13.Eyl"/>
          <s v="14.Eyl"/>
          <s v="15.Eyl"/>
          <s v="16.Eyl"/>
          <s v="17.Eyl"/>
          <s v="18.Eyl"/>
          <s v="19.Eyl"/>
          <s v="20.Eyl"/>
          <s v="21.Eyl"/>
          <s v="22.Eyl"/>
          <s v="23.Eyl"/>
          <s v="24.Eyl"/>
          <s v="25.Eyl"/>
          <s v="26.Eyl"/>
          <s v="27.Eyl"/>
          <s v="28.Eyl"/>
          <s v="29.Eyl"/>
          <s v="30.Eyl"/>
          <s v="1.Eki"/>
          <s v="2.Eki"/>
          <s v="3.Eki"/>
          <s v="4.Eki"/>
          <s v="5.Eki"/>
          <s v="6.Eki"/>
          <s v="7.Eki"/>
          <s v="8.Eki"/>
          <s v="9.Eki"/>
          <s v="10.Eki"/>
          <s v="11.Eki"/>
          <s v="12.Eki"/>
          <s v="13.Eki"/>
          <s v="14.Eki"/>
          <s v="15.Eki"/>
          <s v="16.Eki"/>
          <s v="17.Eki"/>
          <s v="18.Eki"/>
          <s v="19.Eki"/>
          <s v="20.Eki"/>
          <s v="21.Eki"/>
          <s v="22.Eki"/>
          <s v="23.Eki"/>
          <s v="24.Eki"/>
          <s v="25.Eki"/>
          <s v="26.Eki"/>
          <s v="27.Eki"/>
          <s v="28.Eki"/>
          <s v="29.Eki"/>
          <s v="30.Eki"/>
          <s v="31.Eki"/>
          <s v="1.Kas"/>
          <s v="2.Kas"/>
          <s v="3.Kas"/>
          <s v="4.Kas"/>
          <s v="5.Kas"/>
          <s v="6.Kas"/>
          <s v="7.Kas"/>
          <s v="8.Kas"/>
          <s v="9.Kas"/>
          <s v="10.Kas"/>
          <s v="11.Kas"/>
          <s v="12.Kas"/>
          <s v="13.Kas"/>
          <s v="14.Kas"/>
          <s v="15.Kas"/>
          <s v="16.Kas"/>
          <s v="17.Kas"/>
          <s v="18.Kas"/>
          <s v="19.Kas"/>
          <s v="20.Kas"/>
          <s v="21.Kas"/>
          <s v="22.Kas"/>
          <s v="23.Kas"/>
          <s v="24.Kas"/>
          <s v="25.Kas"/>
          <s v="26.Kas"/>
          <s v="27.Kas"/>
          <s v="28.Kas"/>
          <s v="29.Kas"/>
          <s v="30.Kas"/>
          <s v="1.Ara"/>
          <s v="2.Ara"/>
          <s v="3.Ara"/>
          <s v="4.Ara"/>
          <s v="5.Ara"/>
          <s v="6.Ara"/>
          <s v="7.Ara"/>
          <s v="8.Ara"/>
          <s v="9.Ara"/>
          <s v="10.Ara"/>
          <s v="11.Ara"/>
          <s v="12.Ara"/>
          <s v="13.Ara"/>
          <s v="14.Ara"/>
          <s v="15.Ara"/>
          <s v="16.Ara"/>
          <s v="17.Ara"/>
          <s v="18.Ara"/>
          <s v="19.Ara"/>
          <s v="20.Ara"/>
          <s v="21.Ara"/>
          <s v="22.Ara"/>
          <s v="23.Ara"/>
          <s v="24.Ara"/>
          <s v="25.Ara"/>
          <s v="26.Ara"/>
          <s v="27.Ara"/>
          <s v="28.Ara"/>
          <s v="29.Ara"/>
          <s v="30.Ara"/>
          <s v="31.Ara"/>
          <s v="&gt;1.01.2026"/>
        </groupItems>
      </fieldGroup>
    </cacheField>
    <cacheField name="Customer" numFmtId="0">
      <sharedItems/>
    </cacheField>
    <cacheField name="City" numFmtId="0">
      <sharedItems containsBlank="1" count="8">
        <s v="Izmir"/>
        <s v="Bursa"/>
        <s v="Istanbul"/>
        <s v="Antalya"/>
        <s v="Adana"/>
        <s v="Kocaeli"/>
        <s v="Ankara"/>
        <m/>
      </sharedItems>
    </cacheField>
    <cacheField name="Product" numFmtId="0">
      <sharedItems containsBlank="1" count="11">
        <s v="Smartphone"/>
        <s v="Coffee Machine"/>
        <s v="Wireless Headphones"/>
        <s v="Backpack"/>
        <s v="Hoodie"/>
        <s v="Office Chair"/>
        <s v="Smart Watch"/>
        <s v="Laptop"/>
        <s v="Desk Lamp"/>
        <s v="Sneakers"/>
        <m/>
      </sharedItems>
    </cacheField>
    <cacheField name="Category" numFmtId="0">
      <sharedItems count="4">
        <s v="Electronics"/>
        <s v="Home &amp; Office"/>
        <s v="Accessories"/>
        <s v="Fashion"/>
      </sharedItems>
    </cacheField>
    <cacheField name="Quantity" numFmtId="0">
      <sharedItems containsSemiMixedTypes="0" containsString="0" containsNumber="1" containsInteger="1" minValue="1" maxValue="5"/>
    </cacheField>
    <cacheField name="Unit Price" numFmtId="0">
      <sharedItems containsSemiMixedTypes="0" containsString="0" containsNumber="1" minValue="1082.9000000000001" maxValue="30690.89"/>
    </cacheField>
    <cacheField name="Discount" numFmtId="0">
      <sharedItems containsString="0" containsBlank="1" containsNumber="1" minValue="0" maxValue="0.2"/>
    </cacheField>
    <cacheField name="Revenue" numFmtId="0">
      <sharedItems containsString="0" containsBlank="1" containsNumber="1" minValue="935.77" maxValue="146641.04999999999" count="747">
        <n v="77091.73"/>
        <n v="8462.5400000000009"/>
        <n v="3215.84"/>
        <n v="3013.29"/>
        <n v="1513.25"/>
        <n v="1658.95"/>
        <n v="5724.85"/>
        <n v="5776.13"/>
        <n v="20410.759999999998"/>
        <n v="18965.669999999998"/>
        <n v="26662.48"/>
        <n v="6383.52"/>
        <n v="1026.99"/>
        <n v="55320.56"/>
        <n v="3535.47"/>
        <n v="18949.990000000002"/>
        <n v="10101.469999999999"/>
        <n v="14940.55"/>
        <n v="84315.68"/>
        <n v="6841.25"/>
        <n v="1297.98"/>
        <n v="2337.44"/>
        <n v="16324.01"/>
        <n v="2514.5"/>
        <n v="25173.56"/>
        <n v="5160.41"/>
        <n v="5408.37"/>
        <n v="14016.71"/>
        <n v="36040.25"/>
        <n v="2844.73"/>
        <n v="26566.34"/>
        <n v="6047.64"/>
        <n v="1668.9"/>
        <n v="43733.04"/>
        <n v="19529.810000000001"/>
        <n v="5781.05"/>
        <n v="20072.23"/>
        <n v="3050.37"/>
        <n v="3069.83"/>
        <n v="25677.79"/>
        <n v="19154.28"/>
        <n v="1030.5"/>
        <n v="19881.259999999998"/>
        <n v="2064.92"/>
        <n v="1748.15"/>
        <n v="20945.48"/>
        <n v="14167.78"/>
        <n v="14774.3"/>
        <n v="6687.01"/>
        <n v="4574.91"/>
        <n v="57744.1"/>
        <n v="18326.71"/>
        <n v="20059.84"/>
        <n v="4861.79"/>
        <n v="39019.160000000003"/>
        <n v="5668.06"/>
        <n v="50143.43"/>
        <n v="1126.67"/>
        <n v="2933.82"/>
        <n v="3072.52"/>
        <n v="10291.370000000001"/>
        <n v="2890.24"/>
        <n v="4476.41"/>
        <n v="56414.44"/>
        <n v="90496.92"/>
        <n v="2660.82"/>
        <n v="6564.62"/>
        <n v="45984.92"/>
        <n v="52874.07"/>
        <n v="5780.43"/>
        <n v="1248.45"/>
        <n v="1112.1199999999999"/>
        <n v="11121.19"/>
        <n v="3012.63"/>
        <m/>
        <n v="4709.93"/>
        <n v="8499.86"/>
        <n v="5756.73"/>
        <n v="11572.06"/>
        <n v="6447.7"/>
        <n v="1942.84"/>
        <n v="3058.3"/>
        <n v="6179.22"/>
        <n v="1658.78"/>
        <n v="2727.46"/>
        <n v="12356.34"/>
        <n v="1147.44"/>
        <n v="27033.99"/>
        <n v="7320.74"/>
        <n v="6322.01"/>
        <n v="13805.34"/>
        <n v="3453.93"/>
        <n v="7794"/>
        <n v="5501.76"/>
        <n v="15708.74"/>
        <n v="45892.52"/>
        <n v="2488.6"/>
        <n v="26683.22"/>
        <n v="19572.8"/>
        <n v="8954.2199999999993"/>
        <n v="998.06"/>
        <n v="5853.19"/>
        <n v="2991.76"/>
        <n v="8697.83"/>
        <n v="17136.759999999998"/>
        <n v="67365.3"/>
        <n v="974.64"/>
        <n v="18147.71"/>
        <n v="6215.53"/>
        <n v="2124.56"/>
        <n v="25754.86"/>
        <n v="9237.9599999999991"/>
        <n v="1567.41"/>
        <n v="37702.35"/>
        <n v="3379.52"/>
        <n v="12581.44"/>
        <n v="60458.2"/>
        <n v="13716.38"/>
        <n v="2320.5"/>
        <n v="10256.56"/>
        <n v="1201.32"/>
        <n v="9931.5499999999993"/>
        <n v="6874.19"/>
        <n v="26181.98"/>
        <n v="2898.98"/>
        <n v="5816.29"/>
        <n v="13404.6"/>
        <n v="5632.85"/>
        <n v="2878.9"/>
        <n v="2667.66"/>
        <n v="1825.63"/>
        <n v="7906.48"/>
        <n v="10201.1"/>
        <n v="3260.85"/>
        <n v="1746.55"/>
        <n v="5853.04"/>
        <n v="5979.53"/>
        <n v="7850.71"/>
        <n v="12347.23"/>
        <n v="4989.5200000000004"/>
        <n v="15975.32"/>
        <n v="1026.17"/>
        <n v="3690.63"/>
        <n v="30455.55"/>
        <n v="39739.410000000003"/>
        <n v="27835.68"/>
        <n v="9439.8799999999992"/>
        <n v="10573.99"/>
        <n v="21364.16"/>
        <n v="1562.91"/>
        <n v="21018.02"/>
        <n v="2381.12"/>
        <n v="1458.28"/>
        <n v="24919.61"/>
        <n v="2905.85"/>
        <n v="86287.97"/>
        <n v="58496.85"/>
        <n v="2948.33"/>
        <n v="20747.79"/>
        <n v="3063.7"/>
        <n v="6420.29"/>
        <n v="7333.24"/>
        <n v="7031.57"/>
        <n v="21838.560000000001"/>
        <n v="28038.57"/>
        <n v="6645.67"/>
        <n v="1717.78"/>
        <n v="11792.31"/>
        <n v="2804.27"/>
        <n v="3170.36"/>
        <n v="106778.2"/>
        <n v="5965.86"/>
        <n v="7382.15"/>
        <n v="3114.9"/>
        <n v="55802.400000000001"/>
        <n v="7670.11"/>
        <n v="7183.94"/>
        <n v="81661.02"/>
        <n v="13803.1"/>
        <n v="1447.6"/>
        <n v="2567.2600000000002"/>
        <n v="5877.12"/>
        <n v="1076.28"/>
        <n v="6539.18"/>
        <n v="2065.4"/>
        <n v="8746.4500000000007"/>
        <n v="1478.17"/>
        <n v="27468.12"/>
        <n v="1832.44"/>
        <n v="2688.46"/>
        <n v="3312.74"/>
        <n v="1806.37"/>
        <n v="2916.54"/>
        <n v="2946.12"/>
        <n v="12540.14"/>
        <n v="1054.67"/>
        <n v="2929.26"/>
        <n v="4991.28"/>
        <n v="1588"/>
        <n v="13410.4"/>
        <n v="14366.06"/>
        <n v="5149.47"/>
        <n v="1167.95"/>
        <n v="5838.18"/>
        <n v="5546.09"/>
        <n v="1115.92"/>
        <n v="3691.35"/>
        <n v="5797.78"/>
        <n v="10812.22"/>
        <n v="19764.27"/>
        <n v="68263.679999999993"/>
        <n v="37821.699999999997"/>
        <n v="6493.27"/>
        <n v="36923.97"/>
        <n v="6980.04"/>
        <n v="21579.439999999999"/>
        <n v="6620.83"/>
        <n v="54854.14"/>
        <n v="3328.99"/>
        <n v="3289.7"/>
        <n v="20767.849999999999"/>
        <n v="6740.16"/>
        <n v="4973.87"/>
        <n v="146641.04999999999"/>
        <n v="27038.02"/>
        <n v="27216.76"/>
        <n v="20351.38"/>
        <n v="24437.67"/>
        <n v="14854.4"/>
        <n v="2597.4"/>
        <n v="45345.4"/>
        <n v="3186.06"/>
        <n v="7509.21"/>
        <n v="51991.94"/>
        <n v="2072.4699999999998"/>
        <n v="17245.47"/>
        <n v="1628.76"/>
        <n v="6068.95"/>
        <n v="24042.11"/>
        <n v="1137.8900000000001"/>
        <n v="1129.5999999999999"/>
        <n v="4970.8"/>
        <n v="7738.04"/>
        <n v="1349.52"/>
        <n v="1590.36"/>
        <n v="2526.7800000000002"/>
        <n v="19509.98"/>
        <n v="3255.08"/>
        <n v="1663.7"/>
        <n v="18038.400000000001"/>
        <n v="37216.19"/>
        <n v="16137.8"/>
        <n v="18520.330000000002"/>
        <n v="6947.59"/>
        <n v="3094.93"/>
        <n v="7954.82"/>
        <n v="4709.55"/>
        <n v="2025.23"/>
        <n v="3681"/>
        <n v="7983.28"/>
        <n v="1652.17"/>
        <n v="64111.35"/>
        <n v="6382.84"/>
        <n v="43641.5"/>
        <n v="2810.4"/>
        <n v="79132.28"/>
        <n v="1186.08"/>
        <n v="4777.26"/>
        <n v="9185.18"/>
        <n v="6715.13"/>
        <n v="12655.74"/>
        <n v="22296.2"/>
        <n v="9162.15"/>
        <n v="9829.83"/>
        <n v="1674.38"/>
        <n v="29292.6"/>
        <n v="6653.95"/>
        <n v="58312.69"/>
        <n v="2722.27"/>
        <n v="1930.32"/>
        <n v="3113.54"/>
        <n v="37544.949999999997"/>
        <n v="2699.27"/>
        <n v="1237.6300000000001"/>
        <n v="6821.67"/>
        <n v="1536.18"/>
        <n v="1428.67"/>
        <n v="8901.6299999999992"/>
        <n v="92217.54"/>
        <n v="15560.58"/>
        <n v="2476.46"/>
        <n v="12260.95"/>
        <n v="20132.2"/>
        <n v="19471.34"/>
        <n v="27063.63"/>
        <n v="22501.38"/>
        <n v="1087.97"/>
        <n v="9668.84"/>
        <n v="1130.97"/>
        <n v="1574.86"/>
        <n v="12374.38"/>
        <n v="2341.6"/>
        <n v="19087.48"/>
        <n v="6022.5"/>
        <n v="15213.74"/>
        <n v="11089.26"/>
        <n v="91657.86"/>
        <n v="5034.45"/>
        <n v="18169.25"/>
        <n v="7459.35"/>
        <n v="2763.76"/>
        <n v="21465.279999999999"/>
        <n v="4724.03"/>
        <n v="3057.81"/>
        <n v="3098.29"/>
        <n v="7452.55"/>
        <n v="2748.83"/>
        <n v="2987.48"/>
        <n v="23037.88"/>
        <n v="3120.4"/>
        <n v="11237.1"/>
        <n v="4877.79"/>
        <n v="19060.830000000002"/>
        <n v="3232.78"/>
        <n v="2147.86"/>
        <n v="18523.96"/>
        <n v="48793.279999999999"/>
        <n v="1975.69"/>
        <n v="1245.79"/>
        <n v="6833.08"/>
        <n v="19727.07"/>
        <n v="6897.55"/>
        <n v="2015.71"/>
        <n v="2558.7399999999998"/>
        <n v="12107.39"/>
        <n v="2349.66"/>
        <n v="11363.38"/>
        <n v="1375.42"/>
        <n v="1078.25"/>
        <n v="10745.62"/>
        <n v="3317.29"/>
        <n v="5168.13"/>
        <n v="4313.09"/>
        <n v="5651.7"/>
        <n v="14407.4"/>
        <n v="25332.37"/>
        <n v="24092.880000000001"/>
        <n v="2370.17"/>
        <n v="2257.3000000000002"/>
        <n v="21590"/>
        <n v="2704.93"/>
        <n v="3238.51"/>
        <n v="98813.16"/>
        <n v="2806.23"/>
        <n v="1958.56"/>
        <n v="48283.62"/>
        <n v="69794.28"/>
        <n v="2919.31"/>
        <n v="13816.1"/>
        <n v="1015.1"/>
        <n v="4856.8100000000004"/>
        <n v="4780.8500000000004"/>
        <n v="41601.39"/>
        <n v="4902.58"/>
        <n v="15300.36"/>
        <n v="5033.4799999999996"/>
        <n v="4994.1099999999997"/>
        <n v="19280.080000000002"/>
        <n v="3531.49"/>
        <n v="3012.54"/>
        <n v="2864.92"/>
        <n v="8303.43"/>
        <n v="3042.04"/>
        <n v="1542.21"/>
        <n v="16013.32"/>
        <n v="5230.8500000000004"/>
        <n v="6540.73"/>
        <n v="4574.12"/>
        <n v="13955.68"/>
        <n v="2543.79"/>
        <n v="3160.57"/>
        <n v="2734.47"/>
        <n v="3086.27"/>
        <n v="6171.74"/>
        <n v="23277.25"/>
        <n v="2341.77"/>
        <n v="1539.32"/>
        <n v="11300.69"/>
        <n v="6378.61"/>
        <n v="2329.46"/>
        <n v="4116.3100000000004"/>
        <n v="4751.7700000000004"/>
        <n v="1518.89"/>
        <n v="1034.57"/>
        <n v="14230"/>
        <n v="5002.49"/>
        <n v="20097.419999999998"/>
        <n v="7046.19"/>
        <n v="2534.6999999999998"/>
        <n v="43801.16"/>
        <n v="14163.46"/>
        <n v="23060.31"/>
        <n v="92840.87"/>
        <n v="1268.69"/>
        <n v="1575.43"/>
        <n v="4804.6000000000004"/>
        <n v="2816.08"/>
        <n v="54713.56"/>
        <n v="13988.44"/>
        <n v="43954.68"/>
        <n v="18266.689999999999"/>
        <n v="5508.54"/>
        <n v="32621.55"/>
        <n v="11519.19"/>
        <n v="3063.98"/>
        <n v="21491.86"/>
        <n v="2105.2399999999998"/>
        <n v="3241.46"/>
        <n v="11991.72"/>
        <n v="5870.08"/>
        <n v="1577.38"/>
        <n v="46971.88"/>
        <n v="51787.89"/>
        <n v="7799.76"/>
        <n v="25737.93"/>
        <n v="4433.1000000000004"/>
        <n v="16866.400000000001"/>
        <n v="57403.71"/>
        <n v="8839"/>
        <n v="1374.66"/>
        <n v="29192.58"/>
        <n v="3305.1"/>
        <n v="21063.02"/>
        <n v="5197.2299999999996"/>
        <n v="3755.71"/>
        <n v="9223.9"/>
        <n v="2383.71"/>
        <n v="3629.79"/>
        <n v="3022.31"/>
        <n v="3359.61"/>
        <n v="7426.73"/>
        <n v="997.32"/>
        <n v="19530.45"/>
        <n v="3270.12"/>
        <n v="3409.28"/>
        <n v="25435.119999999999"/>
        <n v="2534.64"/>
        <n v="6512.26"/>
        <n v="12188.52"/>
        <n v="1138.92"/>
        <n v="5154.5200000000004"/>
        <n v="2442.87"/>
        <n v="8998.52"/>
        <n v="20684.37"/>
        <n v="56624.27"/>
        <n v="2041.22"/>
        <n v="5698.92"/>
        <n v="52480.17"/>
        <n v="4484.51"/>
        <n v="4858.6000000000004"/>
        <n v="1979.6"/>
        <n v="23609.8"/>
        <n v="57608.959999999999"/>
        <n v="9635.9"/>
        <n v="10849.59"/>
        <n v="2986.03"/>
        <n v="35804.79"/>
        <n v="1253.94"/>
        <n v="9098.4500000000007"/>
        <n v="3011.37"/>
        <n v="3245.32"/>
        <n v="5899.61"/>
        <n v="20678.009999999998"/>
        <n v="5826.65"/>
        <n v="29070.79"/>
        <n v="1579.33"/>
        <n v="37166.620000000003"/>
        <n v="7167.58"/>
        <n v="28731.25"/>
        <n v="39568.26"/>
        <n v="5183.92"/>
        <n v="18765.599999999999"/>
        <n v="5035.46"/>
        <n v="5075.1899999999996"/>
        <n v="7083.48"/>
        <n v="1497.92"/>
        <n v="14068.49"/>
        <n v="6276.59"/>
        <n v="2603.42"/>
        <n v="10526.37"/>
        <n v="7530.11"/>
        <n v="14742.76"/>
        <n v="26533.62"/>
        <n v="1498.72"/>
        <n v="2652.5"/>
        <n v="2330.19"/>
        <n v="1583.69"/>
        <n v="52343.16"/>
        <n v="2427.1"/>
        <n v="23917.74"/>
        <n v="109533.42"/>
        <n v="39950.519999999997"/>
        <n v="11971.8"/>
        <n v="27122.97"/>
        <n v="77151.64"/>
        <n v="23426.12"/>
        <n v="5109.8599999999997"/>
        <n v="5284.16"/>
        <n v="27418.720000000001"/>
        <n v="3316.58"/>
        <n v="3284.66"/>
        <n v="22046.32"/>
        <n v="4873.7700000000004"/>
        <n v="8985.09"/>
        <n v="14212.02"/>
        <n v="1477.02"/>
        <n v="15566.28"/>
        <n v="1618.34"/>
        <n v="9650.36"/>
        <n v="21752.639999999999"/>
        <n v="7731.24"/>
        <n v="1603.94"/>
        <n v="1084.19"/>
        <n v="27535.38"/>
        <n v="30124.25"/>
        <n v="12065.04"/>
        <n v="19080.82"/>
        <n v="9748.68"/>
        <n v="5896.36"/>
        <n v="3367.47"/>
        <n v="1562.32"/>
        <n v="7026.66"/>
        <n v="2989.65"/>
        <n v="5941.56"/>
        <n v="25933.68"/>
        <n v="110208.08"/>
        <n v="21365.43"/>
        <n v="26951.5"/>
        <n v="2835.31"/>
        <n v="28708.16"/>
        <n v="5081.16"/>
        <n v="4523.58"/>
        <n v="11790.14"/>
        <n v="1651.08"/>
        <n v="1400.1"/>
        <n v="20294.5"/>
        <n v="2884.08"/>
        <n v="6583.5"/>
        <n v="8426.11"/>
        <n v="7898.05"/>
        <n v="15573.87"/>
        <n v="5081.59"/>
        <n v="5435.96"/>
        <n v="2098.1799999999998"/>
        <n v="53847.519999999997"/>
        <n v="2673.98"/>
        <n v="3068.4"/>
        <n v="5608.22"/>
        <n v="57620.75"/>
        <n v="3089.12"/>
        <n v="27338.240000000002"/>
        <n v="10806.62"/>
        <n v="3107.18"/>
        <n v="1580.79"/>
        <n v="22149.58"/>
        <n v="1568.87"/>
        <n v="1776.15"/>
        <n v="2024.62"/>
        <n v="4995.6000000000004"/>
        <n v="60469.61"/>
        <n v="5397.99"/>
        <n v="2802.13"/>
        <n v="5757.66"/>
        <n v="2467.5500000000002"/>
        <n v="7626.81"/>
        <n v="27996.1"/>
        <n v="33240.85"/>
        <n v="5423.36"/>
        <n v="1665.66"/>
        <n v="2723.64"/>
        <n v="1233.02"/>
        <n v="2785.01"/>
        <n v="1559.55"/>
        <n v="6975.45"/>
        <n v="13426.77"/>
        <n v="5503.36"/>
        <n v="11249.79"/>
        <n v="3405.11"/>
        <n v="2791.52"/>
        <n v="4460.16"/>
        <n v="3233.12"/>
        <n v="3127.49"/>
        <n v="947.65"/>
        <n v="5709.7"/>
        <n v="9544.86"/>
        <n v="20981.27"/>
        <n v="107204.16"/>
        <n v="41120.730000000003"/>
        <n v="13001.49"/>
        <n v="8721.08"/>
        <n v="2952.85"/>
        <n v="4868.13"/>
        <n v="2430.17"/>
        <n v="1658.43"/>
        <n v="6846.91"/>
        <n v="39248.76"/>
        <n v="3082.73"/>
        <n v="5651.76"/>
        <n v="1098.3399999999999"/>
        <n v="3288.07"/>
        <n v="6542.77"/>
        <n v="3256.26"/>
        <n v="11209.39"/>
        <n v="2332.63"/>
        <n v="5443.62"/>
        <n v="5956.84"/>
        <n v="3364.13"/>
        <n v="22639.47"/>
        <n v="2651.04"/>
        <n v="1481.68"/>
        <n v="22078.26"/>
        <n v="3287.08"/>
        <n v="20253.599999999999"/>
        <n v="1750.65"/>
        <n v="2191.5"/>
        <n v="76503.360000000001"/>
        <n v="18921.59"/>
        <n v="6872.84"/>
        <n v="6017.8"/>
        <n v="3405.15"/>
        <n v="1810.22"/>
        <n v="2801.07"/>
        <n v="20369.14"/>
        <n v="5915.79"/>
        <n v="6902.83"/>
        <n v="2631.72"/>
        <n v="1807.49"/>
        <n v="3475.73"/>
        <n v="3083.03"/>
        <n v="2554.66"/>
        <n v="2423.08"/>
        <n v="2730.59"/>
        <n v="41598.5"/>
        <n v="16467.509999999998"/>
        <n v="15115.18"/>
        <n v="3926.91"/>
        <n v="103869.28"/>
        <n v="5972.86"/>
        <n v="14487.25"/>
        <n v="22325.01"/>
        <n v="5952.74"/>
        <n v="3393.9"/>
        <n v="14512.83"/>
        <n v="3139.33"/>
        <n v="7092.34"/>
        <n v="2524.81"/>
        <n v="19997.91"/>
        <n v="14905.62"/>
        <n v="13231.47"/>
        <n v="2938.15"/>
        <n v="2695.77"/>
        <n v="2427.3200000000002"/>
        <n v="6237.37"/>
        <n v="1302.25"/>
        <n v="2931.81"/>
        <n v="8647.3799999999992"/>
        <n v="935.77"/>
        <n v="5850.6"/>
        <n v="40317.01"/>
        <n v="44056.54"/>
        <n v="12644.44"/>
        <n v="48165.87"/>
        <n v="11231.23"/>
        <n v="5244.21"/>
        <n v="6267.64"/>
        <n v="5654.19"/>
        <n v="72966.47"/>
        <n v="5118.22"/>
        <n v="1531.67"/>
        <n v="10775.36"/>
        <n v="2661.87"/>
        <n v="6218.91"/>
        <n v="2792.84"/>
        <n v="5480.62"/>
        <n v="5986.04"/>
        <n v="6877.25"/>
        <n v="1862.19"/>
        <n v="1105.48"/>
        <n v="1271.3599999999999"/>
        <n v="28430.04"/>
        <n v="11936.08"/>
        <n v="49011.87"/>
        <n v="39756.49"/>
        <n v="24325.33"/>
        <n v="1167.75"/>
        <n v="2846.7"/>
        <n v="1426.36"/>
        <n v="1411.88"/>
        <n v="5979.12"/>
        <n v="6406.33"/>
        <n v="6506.97"/>
        <n v="138467.65"/>
        <n v="13331.42"/>
        <n v="2544.4299999999998"/>
        <n v="6661.62"/>
        <n v="2818.8"/>
        <n v="7304.03"/>
        <n v="8455.19"/>
        <n v="13498.48"/>
        <n v="7709.16"/>
        <n v="6751.38"/>
        <n v="1121.1099999999999"/>
        <n v="962.42"/>
        <n v="3379.23"/>
        <n v="92200.48"/>
        <n v="9464.3700000000008"/>
        <n v="1446.22"/>
        <n v="88399.74"/>
        <n v="5960.29"/>
        <n v="7681.38"/>
        <n v="20604.89"/>
        <n v="1100.8699999999999"/>
        <n v="5735.55"/>
        <n v="22653.63"/>
        <n v="22391.68"/>
        <n v="5777.48"/>
        <n v="1473.48"/>
        <n v="3398.38"/>
        <n v="18941.93"/>
        <n v="5303.56"/>
        <n v="5242.1099999999997"/>
        <n v="49829.86"/>
        <n v="38214.080000000002"/>
        <n v="1154.27"/>
        <n v="4619.76"/>
        <n v="7391.74"/>
        <n v="13706.78"/>
        <n v="4465.79"/>
        <n v="18327.68"/>
        <n v="21058.14"/>
        <n v="2912.88"/>
        <n v="5949.02"/>
        <n v="14454.5"/>
        <n v="12377.84"/>
        <n v="2064.35"/>
        <n v="55397.1"/>
        <n v="2675.21"/>
      </sharedItems>
    </cacheField>
    <cacheField name="Payment Method" numFmtId="0">
      <sharedItems count="4">
        <s v="Digital Wallet"/>
        <s v="Debit Card"/>
        <s v="Bank Transfer"/>
        <s v="Credit Card"/>
      </sharedItems>
    </cacheField>
    <cacheField name="Customer Segment" numFmtId="0">
      <sharedItems count="3">
        <s v="Consumer"/>
        <s v="Corporate"/>
        <s v="Small Business"/>
      </sharedItems>
    </cacheField>
    <cacheField name="Ay" numFmtId="0" databaseField="0">
      <fieldGroup base="1">
        <rangePr groupBy="months" startDate="2025-01-02T00:00:00" endDate="2026-01-01T00:00:00"/>
        <groupItems count="14">
          <s v="&lt;2.01.2025"/>
          <s v="Oca"/>
          <s v="Şub"/>
          <s v="Mar"/>
          <s v="Nis"/>
          <s v="May"/>
          <s v="Haz"/>
          <s v="Tem"/>
          <s v="Ağu"/>
          <s v="Eyl"/>
          <s v="Eki"/>
          <s v="Kas"/>
          <s v="Ara"/>
          <s v="&gt;1.01.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50">
  <r>
    <s v="ORD-10001"/>
    <x v="0"/>
    <s v="Customer 122"/>
    <x v="0"/>
    <x v="0"/>
    <x v="0"/>
    <n v="4"/>
    <n v="21414.37"/>
    <n v="0.1"/>
    <x v="0"/>
    <x v="0"/>
    <x v="0"/>
  </r>
  <r>
    <s v="ORD-10002"/>
    <x v="1"/>
    <s v="Customer 88"/>
    <x v="1"/>
    <x v="1"/>
    <x v="1"/>
    <n v="2"/>
    <n v="4701.41"/>
    <n v="0.1"/>
    <x v="1"/>
    <x v="1"/>
    <x v="0"/>
  </r>
  <r>
    <s v="ORD-10003"/>
    <x v="2"/>
    <s v="Customer 89"/>
    <x v="2"/>
    <x v="2"/>
    <x v="0"/>
    <n v="1"/>
    <n v="3215.84"/>
    <n v="0"/>
    <x v="2"/>
    <x v="0"/>
    <x v="1"/>
  </r>
  <r>
    <s v="ORD-10004"/>
    <x v="3"/>
    <s v="Customer 190"/>
    <x v="0"/>
    <x v="2"/>
    <x v="0"/>
    <n v="1"/>
    <n v="3171.88"/>
    <n v="0.05"/>
    <x v="3"/>
    <x v="2"/>
    <x v="0"/>
  </r>
  <r>
    <s v="ORD-10005"/>
    <x v="4"/>
    <s v="Customer 18"/>
    <x v="1"/>
    <x v="3"/>
    <x v="2"/>
    <n v="1"/>
    <n v="1681.39"/>
    <n v="0.1"/>
    <x v="4"/>
    <x v="3"/>
    <x v="2"/>
  </r>
  <r>
    <s v="ORD-10006"/>
    <x v="5"/>
    <s v="Customer 175"/>
    <x v="0"/>
    <x v="4"/>
    <x v="3"/>
    <n v="1"/>
    <n v="1658.95"/>
    <n v="0"/>
    <x v="5"/>
    <x v="1"/>
    <x v="0"/>
  </r>
  <r>
    <s v="ORD-10007"/>
    <x v="6"/>
    <s v="Customer 54"/>
    <x v="3"/>
    <x v="2"/>
    <x v="0"/>
    <n v="2"/>
    <n v="3013.08"/>
    <n v="0.05"/>
    <x v="6"/>
    <x v="0"/>
    <x v="2"/>
  </r>
  <r>
    <s v="ORD-10008"/>
    <x v="7"/>
    <s v="Customer 200"/>
    <x v="4"/>
    <x v="5"/>
    <x v="1"/>
    <n v="1"/>
    <n v="6795.45"/>
    <n v="0.15"/>
    <x v="7"/>
    <x v="0"/>
    <x v="0"/>
  </r>
  <r>
    <s v="ORD-10009"/>
    <x v="8"/>
    <s v="Customer 154"/>
    <x v="2"/>
    <x v="6"/>
    <x v="0"/>
    <n v="3"/>
    <n v="7559.54"/>
    <n v="0.1"/>
    <x v="8"/>
    <x v="2"/>
    <x v="1"/>
  </r>
  <r>
    <s v="ORD-10010"/>
    <x v="9"/>
    <s v="Customer 88"/>
    <x v="2"/>
    <x v="0"/>
    <x v="0"/>
    <n v="1"/>
    <n v="18965.669999999998"/>
    <n v="0"/>
    <x v="9"/>
    <x v="2"/>
    <x v="0"/>
  </r>
  <r>
    <s v="ORD-10011"/>
    <x v="10"/>
    <s v="Customer 41"/>
    <x v="1"/>
    <x v="7"/>
    <x v="0"/>
    <n v="1"/>
    <n v="29624.98"/>
    <n v="0.1"/>
    <x v="10"/>
    <x v="0"/>
    <x v="2"/>
  </r>
  <r>
    <s v="ORD-10012"/>
    <x v="11"/>
    <s v="Customer 99"/>
    <x v="1"/>
    <x v="5"/>
    <x v="1"/>
    <n v="1"/>
    <n v="6719.49"/>
    <n v="0.05"/>
    <x v="11"/>
    <x v="2"/>
    <x v="0"/>
  </r>
  <r>
    <s v="ORD-10013"/>
    <x v="12"/>
    <s v="Customer 218"/>
    <x v="5"/>
    <x v="8"/>
    <x v="1"/>
    <n v="1"/>
    <n v="1283.74"/>
    <n v="0.2"/>
    <x v="12"/>
    <x v="0"/>
    <x v="0"/>
  </r>
  <r>
    <s v="ORD-10014"/>
    <x v="13"/>
    <s v="Customer 63"/>
    <x v="5"/>
    <x v="7"/>
    <x v="0"/>
    <n v="2"/>
    <n v="27660.28"/>
    <n v="0"/>
    <x v="13"/>
    <x v="3"/>
    <x v="0"/>
  </r>
  <r>
    <s v="ORD-10015"/>
    <x v="14"/>
    <s v="Customer 29"/>
    <x v="1"/>
    <x v="8"/>
    <x v="1"/>
    <n v="3"/>
    <n v="1178.49"/>
    <n v="0"/>
    <x v="14"/>
    <x v="3"/>
    <x v="0"/>
  </r>
  <r>
    <s v="ORD-10016"/>
    <x v="15"/>
    <s v="Customer 28"/>
    <x v="1"/>
    <x v="0"/>
    <x v="0"/>
    <n v="1"/>
    <n v="22294.11"/>
    <n v="0.15"/>
    <x v="15"/>
    <x v="2"/>
    <x v="0"/>
  </r>
  <r>
    <s v="ORD-10017"/>
    <x v="16"/>
    <s v="Customer 190"/>
    <x v="2"/>
    <x v="1"/>
    <x v="1"/>
    <n v="2"/>
    <n v="5611.93"/>
    <n v="0.1"/>
    <x v="16"/>
    <x v="3"/>
    <x v="0"/>
  </r>
  <r>
    <s v="ORD-10018"/>
    <x v="17"/>
    <s v="Customer 62"/>
    <x v="3"/>
    <x v="5"/>
    <x v="1"/>
    <n v="3"/>
    <n v="5859.04"/>
    <n v="0.15"/>
    <x v="17"/>
    <x v="3"/>
    <x v="0"/>
  </r>
  <r>
    <s v="ORD-10019"/>
    <x v="18"/>
    <s v="Customer 180"/>
    <x v="2"/>
    <x v="0"/>
    <x v="0"/>
    <n v="4"/>
    <n v="21078.92"/>
    <n v="0"/>
    <x v="18"/>
    <x v="1"/>
    <x v="2"/>
  </r>
  <r>
    <s v="ORD-10020"/>
    <x v="19"/>
    <s v="Customer 184"/>
    <x v="2"/>
    <x v="6"/>
    <x v="0"/>
    <n v="1"/>
    <n v="7201.32"/>
    <n v="0.05"/>
    <x v="19"/>
    <x v="0"/>
    <x v="1"/>
  </r>
  <r>
    <s v="ORD-10021"/>
    <x v="20"/>
    <s v="Customer 130"/>
    <x v="3"/>
    <x v="8"/>
    <x v="1"/>
    <n v="1"/>
    <n v="1297.98"/>
    <n v="0"/>
    <x v="20"/>
    <x v="2"/>
    <x v="0"/>
  </r>
  <r>
    <s v="ORD-10022"/>
    <x v="21"/>
    <s v="Customer 38"/>
    <x v="3"/>
    <x v="8"/>
    <x v="1"/>
    <n v="2"/>
    <n v="1168.72"/>
    <n v="0"/>
    <x v="21"/>
    <x v="2"/>
    <x v="2"/>
  </r>
  <r>
    <s v="ORD-10023"/>
    <x v="22"/>
    <s v="Customer 70"/>
    <x v="3"/>
    <x v="5"/>
    <x v="1"/>
    <n v="3"/>
    <n v="6045.93"/>
    <n v="0.1"/>
    <x v="22"/>
    <x v="0"/>
    <x v="1"/>
  </r>
  <r>
    <s v="ORD-10024"/>
    <x v="23"/>
    <s v="Customer 199"/>
    <x v="1"/>
    <x v="9"/>
    <x v="3"/>
    <n v="1"/>
    <n v="2646.84"/>
    <n v="0.05"/>
    <x v="23"/>
    <x v="3"/>
    <x v="1"/>
  </r>
  <r>
    <s v="ORD-10025"/>
    <x v="24"/>
    <s v="Customer 159"/>
    <x v="4"/>
    <x v="5"/>
    <x v="1"/>
    <n v="4"/>
    <n v="6293.39"/>
    <n v="0"/>
    <x v="24"/>
    <x v="1"/>
    <x v="0"/>
  </r>
  <r>
    <s v="ORD-10026"/>
    <x v="25"/>
    <s v="Customer 129"/>
    <x v="4"/>
    <x v="3"/>
    <x v="2"/>
    <n v="3"/>
    <n v="1810.67"/>
    <n v="0.05"/>
    <x v="25"/>
    <x v="2"/>
    <x v="1"/>
  </r>
  <r>
    <s v="ORD-10027"/>
    <x v="26"/>
    <s v="Customer 131"/>
    <x v="1"/>
    <x v="1"/>
    <x v="1"/>
    <n v="1"/>
    <n v="5408.37"/>
    <n v="0"/>
    <x v="26"/>
    <x v="2"/>
    <x v="0"/>
  </r>
  <r>
    <s v="ORD-10028"/>
    <x v="27"/>
    <s v="Customer 84"/>
    <x v="4"/>
    <x v="1"/>
    <x v="1"/>
    <n v="3"/>
    <n v="5496.75"/>
    <n v="0.15"/>
    <x v="27"/>
    <x v="0"/>
    <x v="0"/>
  </r>
  <r>
    <s v="ORD-10029"/>
    <x v="28"/>
    <s v="Customer 54"/>
    <x v="0"/>
    <x v="6"/>
    <x v="0"/>
    <n v="5"/>
    <n v="7208.05"/>
    <n v="0"/>
    <x v="28"/>
    <x v="2"/>
    <x v="2"/>
  </r>
  <r>
    <s v="ORD-10030"/>
    <x v="29"/>
    <s v="Customer 195"/>
    <x v="2"/>
    <x v="2"/>
    <x v="0"/>
    <n v="1"/>
    <n v="2994.45"/>
    <n v="0.05"/>
    <x v="29"/>
    <x v="2"/>
    <x v="1"/>
  </r>
  <r>
    <s v="ORD-10031"/>
    <x v="30"/>
    <s v="Customer 109"/>
    <x v="0"/>
    <x v="7"/>
    <x v="0"/>
    <n v="1"/>
    <n v="26566.34"/>
    <n v="0"/>
    <x v="30"/>
    <x v="1"/>
    <x v="2"/>
  </r>
  <r>
    <s v="ORD-10032"/>
    <x v="31"/>
    <s v="Customer 48"/>
    <x v="0"/>
    <x v="5"/>
    <x v="1"/>
    <n v="1"/>
    <n v="6719.6"/>
    <n v="0.1"/>
    <x v="31"/>
    <x v="2"/>
    <x v="0"/>
  </r>
  <r>
    <s v="ORD-10033"/>
    <x v="32"/>
    <s v="Customer 99"/>
    <x v="1"/>
    <x v="3"/>
    <x v="2"/>
    <n v="1"/>
    <n v="1963.41"/>
    <n v="0.15"/>
    <x v="32"/>
    <x v="3"/>
    <x v="2"/>
  </r>
  <r>
    <s v="ORD-10034"/>
    <x v="33"/>
    <s v="Customer 191"/>
    <x v="3"/>
    <x v="0"/>
    <x v="0"/>
    <n v="2"/>
    <n v="23017.39"/>
    <n v="0.05"/>
    <x v="33"/>
    <x v="3"/>
    <x v="0"/>
  </r>
  <r>
    <s v="ORD-10035"/>
    <x v="34"/>
    <s v="Customer 58"/>
    <x v="0"/>
    <x v="0"/>
    <x v="0"/>
    <n v="1"/>
    <n v="20557.7"/>
    <n v="0.05"/>
    <x v="34"/>
    <x v="2"/>
    <x v="0"/>
  </r>
  <r>
    <s v="ORD-10036"/>
    <x v="35"/>
    <s v="Customer 104"/>
    <x v="2"/>
    <x v="2"/>
    <x v="0"/>
    <n v="2"/>
    <n v="3042.66"/>
    <n v="0.05"/>
    <x v="35"/>
    <x v="3"/>
    <x v="1"/>
  </r>
  <r>
    <s v="ORD-10037"/>
    <x v="36"/>
    <s v="Customer 60"/>
    <x v="6"/>
    <x v="0"/>
    <x v="0"/>
    <n v="1"/>
    <n v="22302.48"/>
    <n v="0.1"/>
    <x v="36"/>
    <x v="0"/>
    <x v="0"/>
  </r>
  <r>
    <s v="ORD-10038"/>
    <x v="37"/>
    <s v="Customer 92"/>
    <x v="6"/>
    <x v="4"/>
    <x v="3"/>
    <n v="2"/>
    <n v="1694.65"/>
    <n v="0.1"/>
    <x v="37"/>
    <x v="1"/>
    <x v="0"/>
  </r>
  <r>
    <s v="ORD-10039"/>
    <x v="38"/>
    <s v="Customer 58"/>
    <x v="6"/>
    <x v="9"/>
    <x v="3"/>
    <n v="1"/>
    <n v="3069.83"/>
    <n v="0"/>
    <x v="38"/>
    <x v="1"/>
    <x v="0"/>
  </r>
  <r>
    <s v="ORD-10040"/>
    <x v="5"/>
    <s v="Customer 53"/>
    <x v="1"/>
    <x v="7"/>
    <x v="0"/>
    <n v="1"/>
    <n v="27029.25"/>
    <n v="0.05"/>
    <x v="39"/>
    <x v="2"/>
    <x v="2"/>
  </r>
  <r>
    <s v="ORD-10041"/>
    <x v="39"/>
    <s v="Customer 55"/>
    <x v="1"/>
    <x v="5"/>
    <x v="1"/>
    <n v="3"/>
    <n v="6384.76"/>
    <n v="0"/>
    <x v="40"/>
    <x v="2"/>
    <x v="2"/>
  </r>
  <r>
    <s v="ORD-10042"/>
    <x v="40"/>
    <s v="Customer 58"/>
    <x v="5"/>
    <x v="8"/>
    <x v="1"/>
    <n v="1"/>
    <n v="1145"/>
    <n v="0.1"/>
    <x v="41"/>
    <x v="1"/>
    <x v="0"/>
  </r>
  <r>
    <s v="ORD-10043"/>
    <x v="41"/>
    <s v="Customer 122"/>
    <x v="2"/>
    <x v="6"/>
    <x v="0"/>
    <n v="3"/>
    <n v="7363.43"/>
    <n v="0.1"/>
    <x v="42"/>
    <x v="0"/>
    <x v="0"/>
  </r>
  <r>
    <s v="ORD-10044"/>
    <x v="42"/>
    <s v="Customer 189"/>
    <x v="5"/>
    <x v="8"/>
    <x v="1"/>
    <n v="2"/>
    <n v="1147.18"/>
    <n v="0.1"/>
    <x v="43"/>
    <x v="2"/>
    <x v="1"/>
  </r>
  <r>
    <s v="ORD-10045"/>
    <x v="43"/>
    <s v="Customer 185"/>
    <x v="3"/>
    <x v="3"/>
    <x v="2"/>
    <n v="1"/>
    <n v="1748.15"/>
    <n v="0"/>
    <x v="44"/>
    <x v="1"/>
    <x v="0"/>
  </r>
  <r>
    <s v="ORD-10046"/>
    <x v="44"/>
    <s v="Customer 218"/>
    <x v="3"/>
    <x v="7"/>
    <x v="0"/>
    <n v="1"/>
    <n v="26181.85"/>
    <n v="0.2"/>
    <x v="45"/>
    <x v="0"/>
    <x v="0"/>
  </r>
  <r>
    <s v="ORD-10047"/>
    <x v="45"/>
    <s v="Customer 34"/>
    <x v="1"/>
    <x v="5"/>
    <x v="1"/>
    <n v="2"/>
    <n v="7083.89"/>
    <n v="0"/>
    <x v="46"/>
    <x v="0"/>
    <x v="0"/>
  </r>
  <r>
    <s v="ORD-10048"/>
    <x v="46"/>
    <s v="Customer 24"/>
    <x v="5"/>
    <x v="6"/>
    <x v="0"/>
    <n v="2"/>
    <n v="7775.95"/>
    <n v="0.05"/>
    <x v="47"/>
    <x v="1"/>
    <x v="0"/>
  </r>
  <r>
    <s v="ORD-10049"/>
    <x v="47"/>
    <s v="Customer 161"/>
    <x v="3"/>
    <x v="3"/>
    <x v="2"/>
    <n v="4"/>
    <n v="1759.74"/>
    <n v="0.05"/>
    <x v="48"/>
    <x v="0"/>
    <x v="2"/>
  </r>
  <r>
    <s v="ORD-10050"/>
    <x v="48"/>
    <s v="Customer 141"/>
    <x v="1"/>
    <x v="10"/>
    <x v="2"/>
    <n v="3"/>
    <n v="1694.41"/>
    <n v="0.1"/>
    <x v="49"/>
    <x v="0"/>
    <x v="0"/>
  </r>
  <r>
    <s v="ORD-10051"/>
    <x v="49"/>
    <s v="Customer 154"/>
    <x v="6"/>
    <x v="7"/>
    <x v="0"/>
    <n v="2"/>
    <n v="28872.05"/>
    <n v="0"/>
    <x v="50"/>
    <x v="1"/>
    <x v="0"/>
  </r>
  <r>
    <s v="ORD-10052"/>
    <x v="50"/>
    <s v="Customer 157"/>
    <x v="1"/>
    <x v="0"/>
    <x v="0"/>
    <n v="1"/>
    <n v="20363.009999999998"/>
    <n v="0.1"/>
    <x v="51"/>
    <x v="3"/>
    <x v="2"/>
  </r>
  <r>
    <s v="ORD-10053"/>
    <x v="51"/>
    <s v="Customer 99"/>
    <x v="1"/>
    <x v="0"/>
    <x v="0"/>
    <n v="1"/>
    <n v="22288.71"/>
    <n v="0.1"/>
    <x v="52"/>
    <x v="1"/>
    <x v="0"/>
  </r>
  <r>
    <s v="ORD-10054"/>
    <x v="52"/>
    <s v="Customer 13"/>
    <x v="5"/>
    <x v="3"/>
    <x v="2"/>
    <n v="3"/>
    <n v="1705.89"/>
    <n v="0.05"/>
    <x v="53"/>
    <x v="3"/>
    <x v="0"/>
  </r>
  <r>
    <s v="ORD-10055"/>
    <x v="22"/>
    <s v="Customer 19"/>
    <x v="2"/>
    <x v="0"/>
    <x v="0"/>
    <n v="2"/>
    <n v="20536.400000000001"/>
    <n v="0.05"/>
    <x v="54"/>
    <x v="2"/>
    <x v="0"/>
  </r>
  <r>
    <s v="ORD-10056"/>
    <x v="53"/>
    <s v="Customer 83"/>
    <x v="6"/>
    <x v="1"/>
    <x v="1"/>
    <n v="1"/>
    <n v="5668.06"/>
    <n v="0"/>
    <x v="55"/>
    <x v="0"/>
    <x v="0"/>
  </r>
  <r>
    <s v="ORD-10057"/>
    <x v="54"/>
    <s v="Customer 151"/>
    <x v="2"/>
    <x v="7"/>
    <x v="0"/>
    <n v="2"/>
    <n v="26391.279999999999"/>
    <n v="0.05"/>
    <x v="56"/>
    <x v="0"/>
    <x v="0"/>
  </r>
  <r>
    <s v="ORD-10058"/>
    <x v="55"/>
    <s v="Customer 75"/>
    <x v="6"/>
    <x v="8"/>
    <x v="1"/>
    <n v="1"/>
    <n v="1185.97"/>
    <n v="0.05"/>
    <x v="57"/>
    <x v="0"/>
    <x v="0"/>
  </r>
  <r>
    <s v="ORD-10059"/>
    <x v="56"/>
    <s v="Customer 168"/>
    <x v="6"/>
    <x v="4"/>
    <x v="3"/>
    <n v="2"/>
    <n v="1466.91"/>
    <n v="0"/>
    <x v="58"/>
    <x v="3"/>
    <x v="2"/>
  </r>
  <r>
    <s v="ORD-10060"/>
    <x v="57"/>
    <s v="Customer 65"/>
    <x v="4"/>
    <x v="9"/>
    <x v="3"/>
    <n v="1"/>
    <n v="3072.52"/>
    <n v="0"/>
    <x v="59"/>
    <x v="2"/>
    <x v="0"/>
  </r>
  <r>
    <s v="ORD-10061"/>
    <x v="58"/>
    <s v="Customer 189"/>
    <x v="1"/>
    <x v="1"/>
    <x v="1"/>
    <n v="2"/>
    <n v="5416.51"/>
    <n v="0.05"/>
    <x v="60"/>
    <x v="1"/>
    <x v="1"/>
  </r>
  <r>
    <s v="ORD-10062"/>
    <x v="59"/>
    <s v="Customer 220"/>
    <x v="4"/>
    <x v="2"/>
    <x v="0"/>
    <n v="1"/>
    <n v="3042.36"/>
    <n v="0.05"/>
    <x v="61"/>
    <x v="1"/>
    <x v="1"/>
  </r>
  <r>
    <s v="ORD-10063"/>
    <x v="60"/>
    <s v="Customer 190"/>
    <x v="2"/>
    <x v="4"/>
    <x v="3"/>
    <n v="3"/>
    <n v="1657.93"/>
    <n v="0.1"/>
    <x v="62"/>
    <x v="0"/>
    <x v="0"/>
  </r>
  <r>
    <s v="ORD-10064"/>
    <x v="61"/>
    <s v="Customer 160"/>
    <x v="3"/>
    <x v="7"/>
    <x v="0"/>
    <n v="2"/>
    <n v="29691.81"/>
    <n v="0.05"/>
    <x v="63"/>
    <x v="3"/>
    <x v="0"/>
  </r>
  <r>
    <s v="ORD-10065"/>
    <x v="62"/>
    <s v="Customer 20"/>
    <x v="2"/>
    <x v="7"/>
    <x v="0"/>
    <n v="4"/>
    <n v="26616.74"/>
    <n v="0.15"/>
    <x v="64"/>
    <x v="1"/>
    <x v="0"/>
  </r>
  <r>
    <s v="ORD-10066"/>
    <x v="63"/>
    <s v="Customer 144"/>
    <x v="5"/>
    <x v="2"/>
    <x v="0"/>
    <n v="1"/>
    <n v="3326.03"/>
    <n v="0.2"/>
    <x v="65"/>
    <x v="3"/>
    <x v="2"/>
  </r>
  <r>
    <s v="ORD-10067"/>
    <x v="64"/>
    <s v="Customer 122"/>
    <x v="1"/>
    <x v="6"/>
    <x v="0"/>
    <n v="1"/>
    <n v="6910.13"/>
    <n v="0.05"/>
    <x v="66"/>
    <x v="2"/>
    <x v="0"/>
  </r>
  <r>
    <s v="ORD-10068"/>
    <x v="65"/>
    <s v="Customer 155"/>
    <x v="4"/>
    <x v="0"/>
    <x v="0"/>
    <n v="2"/>
    <n v="22992.46"/>
    <n v="0"/>
    <x v="67"/>
    <x v="0"/>
    <x v="0"/>
  </r>
  <r>
    <s v="ORD-10069"/>
    <x v="66"/>
    <s v="Customer 35"/>
    <x v="3"/>
    <x v="0"/>
    <x v="0"/>
    <n v="3"/>
    <n v="19582.990000000002"/>
    <n v="0.1"/>
    <x v="68"/>
    <x v="1"/>
    <x v="2"/>
  </r>
  <r>
    <s v="ORD-10070"/>
    <x v="59"/>
    <s v="Customer 109"/>
    <x v="3"/>
    <x v="9"/>
    <x v="3"/>
    <n v="2"/>
    <n v="3042.33"/>
    <n v="0.05"/>
    <x v="69"/>
    <x v="0"/>
    <x v="0"/>
  </r>
  <r>
    <s v="ORD-10071"/>
    <x v="67"/>
    <s v="Customer 63"/>
    <x v="2"/>
    <x v="4"/>
    <x v="3"/>
    <n v="1"/>
    <n v="1560.56"/>
    <n v="0.2"/>
    <x v="70"/>
    <x v="1"/>
    <x v="2"/>
  </r>
  <r>
    <s v="ORD-10072"/>
    <x v="68"/>
    <s v="Customer 6"/>
    <x v="1"/>
    <x v="8"/>
    <x v="1"/>
    <n v="1"/>
    <n v="1112.1199999999999"/>
    <n v="0"/>
    <x v="71"/>
    <x v="3"/>
    <x v="0"/>
  </r>
  <r>
    <s v="ORD-10073"/>
    <x v="69"/>
    <s v="Customer 202"/>
    <x v="0"/>
    <x v="9"/>
    <x v="3"/>
    <n v="4"/>
    <n v="2926.63"/>
    <n v="0.05"/>
    <x v="72"/>
    <x v="3"/>
    <x v="0"/>
  </r>
  <r>
    <s v="ORD-10074"/>
    <x v="70"/>
    <s v="Customer 34"/>
    <x v="1"/>
    <x v="2"/>
    <x v="0"/>
    <n v="1"/>
    <n v="3012.63"/>
    <n v="0"/>
    <x v="73"/>
    <x v="0"/>
    <x v="0"/>
  </r>
  <r>
    <s v="ORD-10075"/>
    <x v="71"/>
    <s v="Customer 193"/>
    <x v="4"/>
    <x v="9"/>
    <x v="3"/>
    <n v="2"/>
    <n v="2811.29"/>
    <n v="0.1"/>
    <x v="74"/>
    <x v="2"/>
    <x v="1"/>
  </r>
  <r>
    <s v="ORD-10076"/>
    <x v="72"/>
    <s v="Customer 85"/>
    <x v="4"/>
    <x v="1"/>
    <x v="1"/>
    <n v="1"/>
    <n v="4709.93"/>
    <n v="0"/>
    <x v="75"/>
    <x v="1"/>
    <x v="2"/>
  </r>
  <r>
    <s v="ORD-10077"/>
    <x v="73"/>
    <s v="Customer 30"/>
    <x v="5"/>
    <x v="1"/>
    <x v="1"/>
    <n v="2"/>
    <n v="5312.41"/>
    <n v="0.2"/>
    <x v="76"/>
    <x v="0"/>
    <x v="0"/>
  </r>
  <r>
    <s v="ORD-10078"/>
    <x v="74"/>
    <s v="Customer 106"/>
    <x v="0"/>
    <x v="9"/>
    <x v="3"/>
    <n v="2"/>
    <n v="3029.86"/>
    <n v="0.05"/>
    <x v="77"/>
    <x v="3"/>
    <x v="2"/>
  </r>
  <r>
    <s v="ORD-10079"/>
    <x v="75"/>
    <s v="Customer 34"/>
    <x v="4"/>
    <x v="2"/>
    <x v="0"/>
    <n v="4"/>
    <n v="3045.28"/>
    <n v="0.05"/>
    <x v="78"/>
    <x v="3"/>
    <x v="0"/>
  </r>
  <r>
    <s v="ORD-10080"/>
    <x v="24"/>
    <s v="Customer 183"/>
    <x v="5"/>
    <x v="2"/>
    <x v="0"/>
    <n v="2"/>
    <n v="3223.85"/>
    <n v="0"/>
    <x v="79"/>
    <x v="0"/>
    <x v="0"/>
  </r>
  <r>
    <s v="ORD-10081"/>
    <x v="76"/>
    <s v="Customer 155"/>
    <x v="3"/>
    <x v="3"/>
    <x v="2"/>
    <n v="1"/>
    <n v="1942.84"/>
    <n v="0"/>
    <x v="80"/>
    <x v="2"/>
    <x v="0"/>
  </r>
  <r>
    <s v="ORD-10082"/>
    <x v="31"/>
    <s v="Customer 22"/>
    <x v="3"/>
    <x v="2"/>
    <x v="0"/>
    <n v="1"/>
    <n v="3058.3"/>
    <n v="0"/>
    <x v="81"/>
    <x v="1"/>
    <x v="0"/>
  </r>
  <r>
    <s v="ORD-10083"/>
    <x v="77"/>
    <s v="Customer 155"/>
    <x v="2"/>
    <x v="5"/>
    <x v="1"/>
    <n v="1"/>
    <n v="6504.44"/>
    <n v="0.05"/>
    <x v="82"/>
    <x v="1"/>
    <x v="1"/>
  </r>
  <r>
    <s v="ORD-10084"/>
    <x v="78"/>
    <s v="Customer 81"/>
    <x v="6"/>
    <x v="3"/>
    <x v="2"/>
    <n v="1"/>
    <n v="1951.51"/>
    <n v="0.15"/>
    <x v="83"/>
    <x v="2"/>
    <x v="2"/>
  </r>
  <r>
    <s v="ORD-10085"/>
    <x v="79"/>
    <s v="Customer 14"/>
    <x v="6"/>
    <x v="9"/>
    <x v="3"/>
    <n v="1"/>
    <n v="2727.46"/>
    <n v="0"/>
    <x v="84"/>
    <x v="2"/>
    <x v="0"/>
  </r>
  <r>
    <s v="ORD-10086"/>
    <x v="80"/>
    <s v="Customer 3"/>
    <x v="5"/>
    <x v="5"/>
    <x v="1"/>
    <n v="2"/>
    <n v="6178.17"/>
    <n v="0"/>
    <x v="85"/>
    <x v="0"/>
    <x v="0"/>
  </r>
  <r>
    <s v="ORD-10087"/>
    <x v="81"/>
    <s v="Customer 192"/>
    <x v="2"/>
    <x v="8"/>
    <x v="1"/>
    <n v="1"/>
    <n v="1207.83"/>
    <n v="0.05"/>
    <x v="86"/>
    <x v="0"/>
    <x v="0"/>
  </r>
  <r>
    <s v="ORD-10088"/>
    <x v="82"/>
    <s v="Customer 25"/>
    <x v="2"/>
    <x v="7"/>
    <x v="0"/>
    <n v="1"/>
    <n v="27033.99"/>
    <n v="0"/>
    <x v="87"/>
    <x v="3"/>
    <x v="1"/>
  </r>
  <r>
    <s v="ORD-10089"/>
    <x v="83"/>
    <s v="Customer 214"/>
    <x v="6"/>
    <x v="9"/>
    <x v="3"/>
    <n v="3"/>
    <n v="2568.6799999999998"/>
    <n v="0.05"/>
    <x v="88"/>
    <x v="0"/>
    <x v="1"/>
  </r>
  <r>
    <s v="ORD-10090"/>
    <x v="67"/>
    <s v="Customer 64"/>
    <x v="6"/>
    <x v="5"/>
    <x v="1"/>
    <n v="1"/>
    <n v="6322.01"/>
    <n v="0"/>
    <x v="89"/>
    <x v="0"/>
    <x v="0"/>
  </r>
  <r>
    <s v="ORD-10091"/>
    <x v="84"/>
    <s v="Customer 70"/>
    <x v="5"/>
    <x v="6"/>
    <x v="0"/>
    <n v="2"/>
    <n v="6902.67"/>
    <n v="0"/>
    <x v="90"/>
    <x v="2"/>
    <x v="0"/>
  </r>
  <r>
    <s v="ORD-10092"/>
    <x v="85"/>
    <s v="Customer 131"/>
    <x v="0"/>
    <x v="2"/>
    <x v="0"/>
    <n v="1"/>
    <n v="3453.93"/>
    <n v="0"/>
    <x v="91"/>
    <x v="0"/>
    <x v="0"/>
  </r>
  <r>
    <s v="ORD-10093"/>
    <x v="86"/>
    <s v="Customer 79"/>
    <x v="4"/>
    <x v="6"/>
    <x v="0"/>
    <n v="1"/>
    <n v="8204.2099999999991"/>
    <n v="0.05"/>
    <x v="92"/>
    <x v="1"/>
    <x v="0"/>
  </r>
  <r>
    <s v="ORD-10094"/>
    <x v="87"/>
    <s v="Customer 179"/>
    <x v="3"/>
    <x v="2"/>
    <x v="0"/>
    <n v="2"/>
    <n v="3236.33"/>
    <n v="0.15"/>
    <x v="93"/>
    <x v="2"/>
    <x v="0"/>
  </r>
  <r>
    <s v="ORD-10095"/>
    <x v="88"/>
    <s v="Customer 47"/>
    <x v="2"/>
    <x v="6"/>
    <x v="0"/>
    <n v="2"/>
    <n v="7854.37"/>
    <n v="0"/>
    <x v="94"/>
    <x v="1"/>
    <x v="1"/>
  </r>
  <r>
    <s v="ORD-10096"/>
    <x v="63"/>
    <s v="Customer 161"/>
    <x v="4"/>
    <x v="7"/>
    <x v="0"/>
    <n v="2"/>
    <n v="26995.599999999999"/>
    <n v="0.15"/>
    <x v="95"/>
    <x v="1"/>
    <x v="0"/>
  </r>
  <r>
    <s v="ORD-10097"/>
    <x v="89"/>
    <s v="Customer 65"/>
    <x v="5"/>
    <x v="8"/>
    <x v="1"/>
    <n v="2"/>
    <n v="1244.3"/>
    <n v="0"/>
    <x v="96"/>
    <x v="3"/>
    <x v="0"/>
  </r>
  <r>
    <s v="ORD-10098"/>
    <x v="90"/>
    <s v="Customer 49"/>
    <x v="3"/>
    <x v="7"/>
    <x v="0"/>
    <n v="1"/>
    <n v="29648.02"/>
    <n v="0.1"/>
    <x v="97"/>
    <x v="1"/>
    <x v="1"/>
  </r>
  <r>
    <s v="ORD-10099"/>
    <x v="91"/>
    <s v="Customer 1"/>
    <x v="4"/>
    <x v="5"/>
    <x v="1"/>
    <n v="4"/>
    <n v="6116.5"/>
    <n v="0.2"/>
    <x v="98"/>
    <x v="2"/>
    <x v="2"/>
  </r>
  <r>
    <s v="ORD-10100"/>
    <x v="92"/>
    <s v="Customer 165"/>
    <x v="3"/>
    <x v="2"/>
    <x v="0"/>
    <n v="3"/>
    <n v="2984.74"/>
    <n v="0"/>
    <x v="99"/>
    <x v="0"/>
    <x v="1"/>
  </r>
  <r>
    <s v="ORD-10101"/>
    <x v="93"/>
    <s v="Customer 72"/>
    <x v="5"/>
    <x v="8"/>
    <x v="1"/>
    <n v="1"/>
    <n v="1174.19"/>
    <n v="0.15"/>
    <x v="100"/>
    <x v="2"/>
    <x v="0"/>
  </r>
  <r>
    <s v="ORD-10102"/>
    <x v="94"/>
    <s v="Customer 145"/>
    <x v="2"/>
    <x v="5"/>
    <x v="1"/>
    <n v="1"/>
    <n v="6503.54"/>
    <n v="0.1"/>
    <x v="101"/>
    <x v="0"/>
    <x v="0"/>
  </r>
  <r>
    <s v="ORD-10103"/>
    <x v="15"/>
    <s v="Customer 67"/>
    <x v="5"/>
    <x v="8"/>
    <x v="1"/>
    <n v="3"/>
    <n v="1108.06"/>
    <n v="0.1"/>
    <x v="102"/>
    <x v="0"/>
    <x v="0"/>
  </r>
  <r>
    <s v="ORD-10104"/>
    <x v="16"/>
    <s v="Customer 155"/>
    <x v="1"/>
    <x v="2"/>
    <x v="0"/>
    <n v="3"/>
    <n v="3221.42"/>
    <n v="0.1"/>
    <x v="103"/>
    <x v="3"/>
    <x v="0"/>
  </r>
  <r>
    <s v="ORD-10105"/>
    <x v="43"/>
    <s v="Customer 66"/>
    <x v="6"/>
    <x v="0"/>
    <x v="0"/>
    <n v="1"/>
    <n v="19040.84"/>
    <n v="0.1"/>
    <x v="104"/>
    <x v="3"/>
    <x v="2"/>
  </r>
  <r>
    <s v="ORD-10106"/>
    <x v="95"/>
    <s v="Customer 180"/>
    <x v="5"/>
    <x v="0"/>
    <x v="0"/>
    <n v="3"/>
    <n v="22455.1"/>
    <n v="0"/>
    <x v="105"/>
    <x v="3"/>
    <x v="0"/>
  </r>
  <r>
    <s v="ORD-10107"/>
    <x v="96"/>
    <s v="Customer 164"/>
    <x v="1"/>
    <x v="8"/>
    <x v="1"/>
    <n v="1"/>
    <n v="1082.93"/>
    <n v="0.1"/>
    <x v="106"/>
    <x v="1"/>
    <x v="0"/>
  </r>
  <r>
    <s v="ORD-10108"/>
    <x v="97"/>
    <s v="Customer 23"/>
    <x v="5"/>
    <x v="0"/>
    <x v="0"/>
    <n v="1"/>
    <n v="21350.25"/>
    <n v="0.15"/>
    <x v="107"/>
    <x v="1"/>
    <x v="2"/>
  </r>
  <r>
    <s v="ORD-10109"/>
    <x v="83"/>
    <s v="Customer 104"/>
    <x v="1"/>
    <x v="2"/>
    <x v="0"/>
    <n v="2"/>
    <n v="3271.33"/>
    <n v="0.05"/>
    <x v="108"/>
    <x v="0"/>
    <x v="2"/>
  </r>
  <r>
    <s v="ORD-10110"/>
    <x v="98"/>
    <s v="Customer 92"/>
    <x v="5"/>
    <x v="8"/>
    <x v="1"/>
    <n v="2"/>
    <n v="1249.74"/>
    <n v="0.15"/>
    <x v="109"/>
    <x v="1"/>
    <x v="0"/>
  </r>
  <r>
    <s v="ORD-10111"/>
    <x v="99"/>
    <s v="Customer 46"/>
    <x v="3"/>
    <x v="7"/>
    <x v="0"/>
    <n v="1"/>
    <n v="30299.84"/>
    <n v="0.15"/>
    <x v="110"/>
    <x v="3"/>
    <x v="0"/>
  </r>
  <r>
    <s v="ORD-10112"/>
    <x v="100"/>
    <s v="Customer 175"/>
    <x v="2"/>
    <x v="2"/>
    <x v="0"/>
    <n v="3"/>
    <n v="3079.32"/>
    <n v="0"/>
    <x v="111"/>
    <x v="3"/>
    <x v="0"/>
  </r>
  <r>
    <s v="ORD-10113"/>
    <x v="101"/>
    <s v="Customer 90"/>
    <x v="0"/>
    <x v="4"/>
    <x v="3"/>
    <n v="1"/>
    <n v="1567.41"/>
    <n v="0"/>
    <x v="112"/>
    <x v="1"/>
    <x v="0"/>
  </r>
  <r>
    <s v="ORD-10114"/>
    <x v="102"/>
    <s v="Customer 179"/>
    <x v="4"/>
    <x v="0"/>
    <x v="0"/>
    <n v="2"/>
    <n v="19843.34"/>
    <n v="0.05"/>
    <x v="113"/>
    <x v="2"/>
    <x v="1"/>
  </r>
  <r>
    <s v="ORD-10115"/>
    <x v="38"/>
    <s v="Customer 154"/>
    <x v="1"/>
    <x v="2"/>
    <x v="0"/>
    <n v="1"/>
    <n v="3379.52"/>
    <n v="0"/>
    <x v="114"/>
    <x v="1"/>
    <x v="1"/>
  </r>
  <r>
    <s v="ORD-10116"/>
    <x v="103"/>
    <s v="Customer 189"/>
    <x v="2"/>
    <x v="2"/>
    <x v="0"/>
    <n v="4"/>
    <n v="3145.36"/>
    <n v="0"/>
    <x v="115"/>
    <x v="0"/>
    <x v="1"/>
  </r>
  <r>
    <s v="ORD-10117"/>
    <x v="104"/>
    <s v="Customer 158"/>
    <x v="3"/>
    <x v="7"/>
    <x v="0"/>
    <n v="2"/>
    <n v="30229.1"/>
    <n v="0"/>
    <x v="116"/>
    <x v="3"/>
    <x v="0"/>
  </r>
  <r>
    <s v="ORD-10118"/>
    <x v="3"/>
    <s v="Customer 194"/>
    <x v="4"/>
    <x v="5"/>
    <x v="1"/>
    <n v="2"/>
    <n v="6858.19"/>
    <n v="0"/>
    <x v="117"/>
    <x v="2"/>
    <x v="0"/>
  </r>
  <r>
    <s v="ORD-10119"/>
    <x v="105"/>
    <s v="Customer 103"/>
    <x v="0"/>
    <x v="8"/>
    <x v="1"/>
    <n v="2"/>
    <n v="1160.25"/>
    <n v="0"/>
    <x v="118"/>
    <x v="2"/>
    <x v="0"/>
  </r>
  <r>
    <s v="ORD-10120"/>
    <x v="70"/>
    <s v="Customer 178"/>
    <x v="5"/>
    <x v="1"/>
    <x v="1"/>
    <n v="2"/>
    <n v="5698.09"/>
    <n v="0.1"/>
    <x v="119"/>
    <x v="3"/>
    <x v="0"/>
  </r>
  <r>
    <s v="ORD-10121"/>
    <x v="106"/>
    <s v="Customer 54"/>
    <x v="2"/>
    <x v="8"/>
    <x v="1"/>
    <n v="1"/>
    <n v="1201.32"/>
    <m/>
    <x v="120"/>
    <x v="0"/>
    <x v="1"/>
  </r>
  <r>
    <s v="ORD-10122"/>
    <x v="107"/>
    <s v="Customer 78"/>
    <x v="4"/>
    <x v="1"/>
    <x v="1"/>
    <n v="2"/>
    <n v="5517.53"/>
    <n v="0.1"/>
    <x v="121"/>
    <x v="0"/>
    <x v="2"/>
  </r>
  <r>
    <s v="ORD-10123"/>
    <x v="80"/>
    <s v="Customer 74"/>
    <x v="5"/>
    <x v="6"/>
    <x v="0"/>
    <n v="1"/>
    <n v="7235.99"/>
    <n v="0.05"/>
    <x v="122"/>
    <x v="3"/>
    <x v="0"/>
  </r>
  <r>
    <s v="ORD-10124"/>
    <x v="25"/>
    <s v="Customer 129"/>
    <x v="5"/>
    <x v="7"/>
    <x v="0"/>
    <n v="1"/>
    <n v="27559.98"/>
    <n v="0.05"/>
    <x v="123"/>
    <x v="3"/>
    <x v="0"/>
  </r>
  <r>
    <s v="ORD-10125"/>
    <x v="10"/>
    <s v="Customer 37"/>
    <x v="4"/>
    <x v="2"/>
    <x v="0"/>
    <n v="1"/>
    <n v="3051.56"/>
    <n v="0.05"/>
    <x v="124"/>
    <x v="2"/>
    <x v="1"/>
  </r>
  <r>
    <s v="ORD-10126"/>
    <x v="8"/>
    <s v="Customer 81"/>
    <x v="6"/>
    <x v="5"/>
    <x v="1"/>
    <n v="1"/>
    <n v="6842.69"/>
    <n v="0.15"/>
    <x v="125"/>
    <x v="1"/>
    <x v="0"/>
  </r>
  <r>
    <s v="ORD-10127"/>
    <x v="108"/>
    <s v="Customer 9"/>
    <x v="6"/>
    <x v="1"/>
    <x v="1"/>
    <n v="3"/>
    <n v="4703.37"/>
    <n v="0.05"/>
    <x v="126"/>
    <x v="3"/>
    <x v="0"/>
  </r>
  <r>
    <s v="ORD-10128"/>
    <x v="109"/>
    <s v="Customer 109"/>
    <x v="6"/>
    <x v="2"/>
    <x v="0"/>
    <n v="2"/>
    <n v="2964.66"/>
    <n v="0.05"/>
    <x v="127"/>
    <x v="0"/>
    <x v="1"/>
  </r>
  <r>
    <s v="ORD-10129"/>
    <x v="110"/>
    <s v="Customer 17"/>
    <x v="3"/>
    <x v="4"/>
    <x v="3"/>
    <n v="2"/>
    <n v="1599.39"/>
    <n v="0.1"/>
    <x v="128"/>
    <x v="3"/>
    <x v="0"/>
  </r>
  <r>
    <s v="ORD-10130"/>
    <x v="111"/>
    <s v="Customer 134"/>
    <x v="0"/>
    <x v="9"/>
    <x v="3"/>
    <n v="1"/>
    <n v="2667.66"/>
    <n v="0"/>
    <x v="129"/>
    <x v="2"/>
    <x v="0"/>
  </r>
  <r>
    <s v="ORD-10131"/>
    <x v="112"/>
    <s v="Customer 122"/>
    <x v="4"/>
    <x v="3"/>
    <x v="2"/>
    <n v="1"/>
    <n v="1921.72"/>
    <n v="0.05"/>
    <x v="130"/>
    <x v="2"/>
    <x v="0"/>
  </r>
  <r>
    <s v="ORD-10132"/>
    <x v="109"/>
    <s v="Customer 149"/>
    <x v="0"/>
    <x v="6"/>
    <x v="0"/>
    <n v="1"/>
    <n v="7906.48"/>
    <n v="0"/>
    <x v="131"/>
    <x v="2"/>
    <x v="0"/>
  </r>
  <r>
    <s v="ORD-10133"/>
    <x v="105"/>
    <s v="Customer 111"/>
    <x v="4"/>
    <x v="1"/>
    <x v="1"/>
    <n v="2"/>
    <n v="5667.28"/>
    <n v="0.1"/>
    <x v="132"/>
    <x v="1"/>
    <x v="1"/>
  </r>
  <r>
    <s v="ORD-10134"/>
    <x v="113"/>
    <s v="Customer 190"/>
    <x v="0"/>
    <x v="2"/>
    <x v="0"/>
    <n v="1"/>
    <n v="3260.85"/>
    <n v="0"/>
    <x v="133"/>
    <x v="3"/>
    <x v="0"/>
  </r>
  <r>
    <s v="ORD-10135"/>
    <x v="114"/>
    <s v="Customer 217"/>
    <x v="3"/>
    <x v="3"/>
    <x v="2"/>
    <n v="1"/>
    <n v="1746.55"/>
    <n v="0"/>
    <x v="134"/>
    <x v="0"/>
    <x v="1"/>
  </r>
  <r>
    <s v="ORD-10136"/>
    <x v="115"/>
    <s v="Customer 98"/>
    <x v="1"/>
    <x v="5"/>
    <x v="1"/>
    <n v="1"/>
    <n v="5853.04"/>
    <n v="0"/>
    <x v="135"/>
    <x v="0"/>
    <x v="0"/>
  </r>
  <r>
    <s v="ORD-10137"/>
    <x v="116"/>
    <s v="Customer 12"/>
    <x v="4"/>
    <x v="4"/>
    <x v="3"/>
    <n v="4"/>
    <n v="1660.98"/>
    <n v="0.1"/>
    <x v="136"/>
    <x v="2"/>
    <x v="2"/>
  </r>
  <r>
    <s v="ORD-10138"/>
    <x v="84"/>
    <s v="Customer 200"/>
    <x v="2"/>
    <x v="9"/>
    <x v="3"/>
    <n v="3"/>
    <n v="2907.67"/>
    <n v="0.1"/>
    <x v="137"/>
    <x v="1"/>
    <x v="0"/>
  </r>
  <r>
    <s v="ORD-10139"/>
    <x v="117"/>
    <s v="Customer 16"/>
    <x v="5"/>
    <x v="2"/>
    <x v="0"/>
    <n v="5"/>
    <n v="2905.23"/>
    <n v="0.15"/>
    <x v="138"/>
    <x v="3"/>
    <x v="0"/>
  </r>
  <r>
    <s v="ORD-10140"/>
    <x v="17"/>
    <s v="Customer 115"/>
    <x v="6"/>
    <x v="8"/>
    <x v="1"/>
    <n v="4"/>
    <n v="1247.3800000000001"/>
    <n v="0"/>
    <x v="139"/>
    <x v="0"/>
    <x v="2"/>
  </r>
  <r>
    <s v="ORD-10141"/>
    <x v="0"/>
    <s v="Customer 17"/>
    <x v="4"/>
    <x v="5"/>
    <x v="1"/>
    <n v="3"/>
    <n v="6264.83"/>
    <n v="0.15"/>
    <x v="140"/>
    <x v="0"/>
    <x v="0"/>
  </r>
  <r>
    <s v="ORD-10142"/>
    <x v="52"/>
    <s v="Customer 215"/>
    <x v="1"/>
    <x v="8"/>
    <x v="1"/>
    <n v="1"/>
    <n v="1207.26"/>
    <n v="0.15"/>
    <x v="141"/>
    <x v="0"/>
    <x v="0"/>
  </r>
  <r>
    <s v="ORD-10143"/>
    <x v="46"/>
    <s v="Customer 170"/>
    <x v="1"/>
    <x v="8"/>
    <x v="1"/>
    <n v="3"/>
    <n v="1230.21"/>
    <n v="0"/>
    <x v="142"/>
    <x v="1"/>
    <x v="0"/>
  </r>
  <r>
    <s v="ORD-10144"/>
    <x v="118"/>
    <s v="Customer 160"/>
    <x v="0"/>
    <x v="5"/>
    <x v="1"/>
    <n v="5"/>
    <n v="6091.11"/>
    <n v="0"/>
    <x v="143"/>
    <x v="0"/>
    <x v="2"/>
  </r>
  <r>
    <s v="ORD-10145"/>
    <x v="119"/>
    <s v="Customer 16"/>
    <x v="1"/>
    <x v="0"/>
    <x v="0"/>
    <n v="2"/>
    <n v="20915.48"/>
    <n v="0.05"/>
    <x v="144"/>
    <x v="0"/>
    <x v="0"/>
  </r>
  <r>
    <s v="ORD-10146"/>
    <x v="51"/>
    <s v="Customer 3"/>
    <x v="3"/>
    <x v="7"/>
    <x v="0"/>
    <n v="1"/>
    <n v="29300.720000000001"/>
    <n v="0.05"/>
    <x v="145"/>
    <x v="1"/>
    <x v="0"/>
  </r>
  <r>
    <s v="ORD-10147"/>
    <x v="120"/>
    <s v="Customer 143"/>
    <x v="2"/>
    <x v="1"/>
    <x v="1"/>
    <n v="2"/>
    <n v="4968.3599999999997"/>
    <n v="0.05"/>
    <x v="146"/>
    <x v="3"/>
    <x v="1"/>
  </r>
  <r>
    <s v="ORD-10148"/>
    <x v="84"/>
    <s v="Customer 39"/>
    <x v="5"/>
    <x v="2"/>
    <x v="0"/>
    <n v="4"/>
    <n v="2937.22"/>
    <n v="0.1"/>
    <x v="147"/>
    <x v="1"/>
    <x v="1"/>
  </r>
  <r>
    <s v="ORD-10149"/>
    <x v="121"/>
    <s v="Customer 148"/>
    <x v="3"/>
    <x v="1"/>
    <x v="1"/>
    <n v="5"/>
    <n v="4747.59"/>
    <n v="0.1"/>
    <x v="148"/>
    <x v="0"/>
    <x v="0"/>
  </r>
  <r>
    <s v="ORD-10150"/>
    <x v="122"/>
    <s v="Customer 3"/>
    <x v="4"/>
    <x v="4"/>
    <x v="3"/>
    <n v="1"/>
    <n v="1562.91"/>
    <n v="0"/>
    <x v="149"/>
    <x v="3"/>
    <x v="0"/>
  </r>
  <r>
    <s v="ORD-10151"/>
    <x v="78"/>
    <s v="Customer 123"/>
    <x v="6"/>
    <x v="6"/>
    <x v="0"/>
    <n v="3"/>
    <n v="8242.36"/>
    <n v="0.15"/>
    <x v="150"/>
    <x v="0"/>
    <x v="1"/>
  </r>
  <r>
    <s v="ORD-10152"/>
    <x v="123"/>
    <s v="Customer 125"/>
    <x v="5"/>
    <x v="9"/>
    <x v="3"/>
    <n v="1"/>
    <n v="2645.69"/>
    <n v="0.1"/>
    <x v="151"/>
    <x v="3"/>
    <x v="1"/>
  </r>
  <r>
    <s v="ORD-10153"/>
    <x v="109"/>
    <s v="Customer 137"/>
    <x v="0"/>
    <x v="3"/>
    <x v="2"/>
    <n v="1"/>
    <n v="1715.62"/>
    <n v="0.15"/>
    <x v="152"/>
    <x v="3"/>
    <x v="2"/>
  </r>
  <r>
    <s v="ORD-10154"/>
    <x v="124"/>
    <s v="Customer 216"/>
    <x v="1"/>
    <x v="7"/>
    <x v="0"/>
    <n v="1"/>
    <n v="29317.19"/>
    <n v="0.15"/>
    <x v="153"/>
    <x v="0"/>
    <x v="0"/>
  </r>
  <r>
    <s v="ORD-10155"/>
    <x v="125"/>
    <s v="Customer 205"/>
    <x v="1"/>
    <x v="9"/>
    <x v="3"/>
    <n v="1"/>
    <n v="3058.79"/>
    <n v="0.05"/>
    <x v="154"/>
    <x v="3"/>
    <x v="2"/>
  </r>
  <r>
    <s v="ORD-10156"/>
    <x v="126"/>
    <s v="Customer 56"/>
    <x v="6"/>
    <x v="7"/>
    <x v="0"/>
    <n v="3"/>
    <n v="30276.48"/>
    <n v="0.05"/>
    <x v="155"/>
    <x v="2"/>
    <x v="1"/>
  </r>
  <r>
    <s v="ORD-10157"/>
    <x v="127"/>
    <s v="Customer 59"/>
    <x v="0"/>
    <x v="0"/>
    <x v="0"/>
    <n v="3"/>
    <n v="21665.5"/>
    <n v="0.1"/>
    <x v="156"/>
    <x v="2"/>
    <x v="1"/>
  </r>
  <r>
    <s v="ORD-10158"/>
    <x v="128"/>
    <s v="Customer 7"/>
    <x v="3"/>
    <x v="4"/>
    <x v="3"/>
    <n v="2"/>
    <n v="1637.96"/>
    <n v="0.1"/>
    <x v="157"/>
    <x v="0"/>
    <x v="2"/>
  </r>
  <r>
    <s v="ORD-10159"/>
    <x v="129"/>
    <s v="Customer 39"/>
    <x v="5"/>
    <x v="5"/>
    <x v="1"/>
    <n v="3"/>
    <n v="6915.93"/>
    <n v="0"/>
    <x v="158"/>
    <x v="1"/>
    <x v="2"/>
  </r>
  <r>
    <s v="ORD-10160"/>
    <x v="66"/>
    <s v="Customer 155"/>
    <x v="2"/>
    <x v="4"/>
    <x v="3"/>
    <n v="2"/>
    <n v="1531.85"/>
    <n v="0"/>
    <x v="159"/>
    <x v="3"/>
    <x v="1"/>
  </r>
  <r>
    <s v="ORD-10161"/>
    <x v="130"/>
    <s v="Customer 211"/>
    <x v="4"/>
    <x v="2"/>
    <x v="0"/>
    <n v="2"/>
    <n v="3379.1"/>
    <n v="0.05"/>
    <x v="160"/>
    <x v="0"/>
    <x v="0"/>
  </r>
  <r>
    <s v="ORD-10162"/>
    <x v="131"/>
    <s v="Customer 196"/>
    <x v="1"/>
    <x v="6"/>
    <x v="0"/>
    <n v="1"/>
    <n v="8148.04"/>
    <n v="0.1"/>
    <x v="161"/>
    <x v="2"/>
    <x v="1"/>
  </r>
  <r>
    <s v="ORD-10163"/>
    <x v="132"/>
    <s v="Customer 22"/>
    <x v="6"/>
    <x v="6"/>
    <x v="0"/>
    <n v="1"/>
    <n v="7812.86"/>
    <n v="0.1"/>
    <x v="162"/>
    <x v="2"/>
    <x v="0"/>
  </r>
  <r>
    <s v="ORD-10164"/>
    <x v="133"/>
    <s v="Customer 180"/>
    <x v="3"/>
    <x v="1"/>
    <x v="1"/>
    <n v="5"/>
    <n v="5459.64"/>
    <n v="0.2"/>
    <x v="163"/>
    <x v="2"/>
    <x v="0"/>
  </r>
  <r>
    <s v="ORD-10165"/>
    <x v="41"/>
    <s v="Customer 215"/>
    <x v="6"/>
    <x v="7"/>
    <x v="0"/>
    <n v="1"/>
    <n v="29514.28"/>
    <n v="0.05"/>
    <x v="164"/>
    <x v="1"/>
    <x v="0"/>
  </r>
  <r>
    <s v="ORD-10166"/>
    <x v="48"/>
    <s v="Customer 157"/>
    <x v="0"/>
    <x v="6"/>
    <x v="0"/>
    <n v="1"/>
    <n v="6995.44"/>
    <n v="0.05"/>
    <x v="165"/>
    <x v="2"/>
    <x v="2"/>
  </r>
  <r>
    <s v="ORD-10167"/>
    <x v="2"/>
    <s v="Customer 184"/>
    <x v="1"/>
    <x v="4"/>
    <x v="3"/>
    <n v="1"/>
    <n v="1717.78"/>
    <n v="0"/>
    <x v="166"/>
    <x v="3"/>
    <x v="2"/>
  </r>
  <r>
    <s v="ORD-10168"/>
    <x v="99"/>
    <s v="Customer 58"/>
    <x v="1"/>
    <x v="5"/>
    <x v="1"/>
    <n v="2"/>
    <n v="6206.48"/>
    <n v="0.05"/>
    <x v="167"/>
    <x v="1"/>
    <x v="0"/>
  </r>
  <r>
    <s v="ORD-10169"/>
    <x v="7"/>
    <s v="Customer 208"/>
    <x v="0"/>
    <x v="2"/>
    <x v="0"/>
    <n v="1"/>
    <n v="3115.86"/>
    <n v="0.1"/>
    <x v="168"/>
    <x v="2"/>
    <x v="0"/>
  </r>
  <r>
    <s v="ORD-10170"/>
    <x v="134"/>
    <s v="Customer 199"/>
    <x v="0"/>
    <x v="2"/>
    <x v="0"/>
    <n v="1"/>
    <n v="3170.36"/>
    <n v="0"/>
    <x v="169"/>
    <x v="3"/>
    <x v="0"/>
  </r>
  <r>
    <s v="ORD-10171"/>
    <x v="94"/>
    <s v="Customer 206"/>
    <x v="5"/>
    <x v="7"/>
    <x v="0"/>
    <n v="4"/>
    <n v="29660.61"/>
    <n v="0.1"/>
    <x v="170"/>
    <x v="3"/>
    <x v="1"/>
  </r>
  <r>
    <s v="ORD-10172"/>
    <x v="79"/>
    <s v="Customer 117"/>
    <x v="6"/>
    <x v="2"/>
    <x v="0"/>
    <n v="2"/>
    <n v="2982.93"/>
    <n v="0"/>
    <x v="171"/>
    <x v="2"/>
    <x v="0"/>
  </r>
  <r>
    <s v="ORD-10173"/>
    <x v="73"/>
    <s v="Customer 110"/>
    <x v="5"/>
    <x v="6"/>
    <x v="0"/>
    <n v="1"/>
    <n v="7770.68"/>
    <n v="0.05"/>
    <x v="172"/>
    <x v="0"/>
    <x v="1"/>
  </r>
  <r>
    <s v="ORD-10174"/>
    <x v="135"/>
    <s v="Customer 214"/>
    <x v="0"/>
    <x v="3"/>
    <x v="2"/>
    <n v="2"/>
    <n v="1946.81"/>
    <m/>
    <x v="173"/>
    <x v="2"/>
    <x v="0"/>
  </r>
  <r>
    <s v="ORD-10175"/>
    <x v="40"/>
    <s v="Customer 148"/>
    <x v="2"/>
    <x v="7"/>
    <x v="0"/>
    <n v="2"/>
    <n v="27901.200000000001"/>
    <n v="0"/>
    <x v="174"/>
    <x v="1"/>
    <x v="1"/>
  </r>
  <r>
    <s v="ORD-10176"/>
    <x v="136"/>
    <s v="Customer 116"/>
    <x v="6"/>
    <x v="6"/>
    <x v="0"/>
    <n v="1"/>
    <n v="8073.8"/>
    <n v="0.05"/>
    <x v="175"/>
    <x v="1"/>
    <x v="0"/>
  </r>
  <r>
    <s v="ORD-10177"/>
    <x v="98"/>
    <s v="Customer 119"/>
    <x v="1"/>
    <x v="6"/>
    <x v="0"/>
    <n v="1"/>
    <n v="7982.16"/>
    <n v="0.1"/>
    <x v="176"/>
    <x v="3"/>
    <x v="2"/>
  </r>
  <r>
    <s v="ORD-10178"/>
    <x v="137"/>
    <s v="Customer 160"/>
    <x v="2"/>
    <x v="7"/>
    <x v="0"/>
    <n v="3"/>
    <n v="28652.99"/>
    <n v="0.05"/>
    <x v="177"/>
    <x v="1"/>
    <x v="2"/>
  </r>
  <r>
    <s v="ORD-10179"/>
    <x v="80"/>
    <s v="Customer 203"/>
    <x v="1"/>
    <x v="6"/>
    <x v="0"/>
    <n v="2"/>
    <n v="7668.39"/>
    <n v="0.1"/>
    <x v="178"/>
    <x v="2"/>
    <x v="0"/>
  </r>
  <r>
    <s v="ORD-10180"/>
    <x v="138"/>
    <s v="Customer 14"/>
    <x v="0"/>
    <x v="4"/>
    <x v="3"/>
    <n v="1"/>
    <n v="1608.45"/>
    <n v="0.1"/>
    <x v="179"/>
    <x v="1"/>
    <x v="0"/>
  </r>
  <r>
    <s v="ORD-10181"/>
    <x v="105"/>
    <s v="Customer 100"/>
    <x v="3"/>
    <x v="2"/>
    <x v="0"/>
    <n v="1"/>
    <n v="3020.3"/>
    <n v="0.15"/>
    <x v="180"/>
    <x v="2"/>
    <x v="2"/>
  </r>
  <r>
    <s v="ORD-10182"/>
    <x v="139"/>
    <s v="Customer 150"/>
    <x v="3"/>
    <x v="5"/>
    <x v="1"/>
    <n v="1"/>
    <n v="5877.12"/>
    <n v="0"/>
    <x v="181"/>
    <x v="2"/>
    <x v="0"/>
  </r>
  <r>
    <s v="ORD-10183"/>
    <x v="72"/>
    <s v="Customer 97"/>
    <x v="5"/>
    <x v="8"/>
    <x v="1"/>
    <n v="1"/>
    <n v="1132.93"/>
    <m/>
    <x v="182"/>
    <x v="2"/>
    <x v="0"/>
  </r>
  <r>
    <s v="ORD-10184"/>
    <x v="140"/>
    <s v="Customer 108"/>
    <x v="4"/>
    <x v="6"/>
    <x v="0"/>
    <n v="1"/>
    <n v="7693.15"/>
    <n v="0.15"/>
    <x v="183"/>
    <x v="2"/>
    <x v="0"/>
  </r>
  <r>
    <s v="ORD-10185"/>
    <x v="141"/>
    <s v="Customer 66"/>
    <x v="5"/>
    <x v="8"/>
    <x v="1"/>
    <n v="2"/>
    <n v="1087.05"/>
    <n v="0.05"/>
    <x v="184"/>
    <x v="1"/>
    <x v="1"/>
  </r>
  <r>
    <s v="ORD-10186"/>
    <x v="142"/>
    <s v="Customer 18"/>
    <x v="3"/>
    <x v="3"/>
    <x v="2"/>
    <n v="5"/>
    <n v="1749.29"/>
    <n v="0"/>
    <x v="185"/>
    <x v="0"/>
    <x v="0"/>
  </r>
  <r>
    <s v="ORD-10187"/>
    <x v="108"/>
    <s v="Customer 78"/>
    <x v="6"/>
    <x v="4"/>
    <x v="3"/>
    <n v="1"/>
    <n v="1642.41"/>
    <n v="0.1"/>
    <x v="186"/>
    <x v="0"/>
    <x v="0"/>
  </r>
  <r>
    <s v="ORD-10188"/>
    <x v="108"/>
    <s v="Customer 217"/>
    <x v="1"/>
    <x v="7"/>
    <x v="0"/>
    <n v="1"/>
    <n v="27468.12"/>
    <n v="0"/>
    <x v="187"/>
    <x v="1"/>
    <x v="0"/>
  </r>
  <r>
    <s v="ORD-10189"/>
    <x v="10"/>
    <s v="Customer 193"/>
    <x v="1"/>
    <x v="3"/>
    <x v="2"/>
    <n v="1"/>
    <n v="1928.88"/>
    <n v="0.05"/>
    <x v="188"/>
    <x v="2"/>
    <x v="0"/>
  </r>
  <r>
    <s v="ORD-10190"/>
    <x v="143"/>
    <s v="Customer 202"/>
    <x v="3"/>
    <x v="2"/>
    <x v="0"/>
    <n v="1"/>
    <n v="3162.9"/>
    <n v="0.15"/>
    <x v="189"/>
    <x v="1"/>
    <x v="1"/>
  </r>
  <r>
    <s v="ORD-10191"/>
    <x v="144"/>
    <s v="Customer 64"/>
    <x v="4"/>
    <x v="2"/>
    <x v="0"/>
    <n v="1"/>
    <n v="3487.09"/>
    <n v="0.05"/>
    <x v="190"/>
    <x v="2"/>
    <x v="0"/>
  </r>
  <r>
    <s v="ORD-10192"/>
    <x v="123"/>
    <s v="Customer 44"/>
    <x v="1"/>
    <x v="3"/>
    <x v="2"/>
    <n v="1"/>
    <n v="1901.44"/>
    <n v="0.05"/>
    <x v="191"/>
    <x v="0"/>
    <x v="2"/>
  </r>
  <r>
    <s v="ORD-10193"/>
    <x v="11"/>
    <s v="Customer 20"/>
    <x v="6"/>
    <x v="2"/>
    <x v="0"/>
    <n v="1"/>
    <n v="2916.54"/>
    <n v="0"/>
    <x v="192"/>
    <x v="3"/>
    <x v="1"/>
  </r>
  <r>
    <s v="ORD-10194"/>
    <x v="13"/>
    <s v="Customer 206"/>
    <x v="1"/>
    <x v="2"/>
    <x v="0"/>
    <n v="1"/>
    <n v="2946.12"/>
    <n v="0"/>
    <x v="193"/>
    <x v="1"/>
    <x v="0"/>
  </r>
  <r>
    <s v="ORD-10195"/>
    <x v="48"/>
    <s v="Customer 185"/>
    <x v="5"/>
    <x v="5"/>
    <x v="1"/>
    <n v="2"/>
    <n v="6270.07"/>
    <n v="0"/>
    <x v="194"/>
    <x v="0"/>
    <x v="0"/>
  </r>
  <r>
    <s v="ORD-10196"/>
    <x v="20"/>
    <s v="Customer 45"/>
    <x v="1"/>
    <x v="8"/>
    <x v="1"/>
    <n v="1"/>
    <n v="1110.18"/>
    <n v="0.05"/>
    <x v="195"/>
    <x v="2"/>
    <x v="2"/>
  </r>
  <r>
    <s v="ORD-10197"/>
    <x v="145"/>
    <s v="Customer 96"/>
    <x v="4"/>
    <x v="9"/>
    <x v="3"/>
    <n v="1"/>
    <n v="2929.26"/>
    <n v="0"/>
    <x v="196"/>
    <x v="3"/>
    <x v="2"/>
  </r>
  <r>
    <s v="ORD-10198"/>
    <x v="146"/>
    <s v="Customer 210"/>
    <x v="2"/>
    <x v="2"/>
    <x v="0"/>
    <n v="2"/>
    <n v="3119.55"/>
    <n v="0.2"/>
    <x v="197"/>
    <x v="1"/>
    <x v="2"/>
  </r>
  <r>
    <s v="ORD-10199"/>
    <x v="147"/>
    <s v="Customer 1"/>
    <x v="0"/>
    <x v="3"/>
    <x v="2"/>
    <n v="1"/>
    <n v="1868.23"/>
    <n v="0.15"/>
    <x v="198"/>
    <x v="0"/>
    <x v="1"/>
  </r>
  <r>
    <s v="ORD-10200"/>
    <x v="65"/>
    <s v="Customer 198"/>
    <x v="5"/>
    <x v="5"/>
    <x v="1"/>
    <n v="2"/>
    <n v="6705.2"/>
    <n v="0"/>
    <x v="199"/>
    <x v="3"/>
    <x v="2"/>
  </r>
  <r>
    <s v="ORD-10201"/>
    <x v="148"/>
    <s v="Customer 98"/>
    <x v="3"/>
    <x v="6"/>
    <x v="0"/>
    <n v="2"/>
    <n v="7183.03"/>
    <n v="0"/>
    <x v="200"/>
    <x v="1"/>
    <x v="0"/>
  </r>
  <r>
    <s v="ORD-10202"/>
    <x v="149"/>
    <s v="Customer 109"/>
    <x v="0"/>
    <x v="3"/>
    <x v="2"/>
    <n v="3"/>
    <n v="1907.21"/>
    <n v="0.1"/>
    <x v="201"/>
    <x v="3"/>
    <x v="0"/>
  </r>
  <r>
    <s v="ORD-10203"/>
    <x v="150"/>
    <s v="Customer 143"/>
    <x v="3"/>
    <x v="8"/>
    <x v="1"/>
    <n v="1"/>
    <n v="1167.95"/>
    <n v="0"/>
    <x v="202"/>
    <x v="0"/>
    <x v="0"/>
  </r>
  <r>
    <s v="ORD-10204"/>
    <x v="135"/>
    <s v="Customer 99"/>
    <x v="4"/>
    <x v="5"/>
    <x v="1"/>
    <n v="1"/>
    <n v="6145.45"/>
    <n v="0.05"/>
    <x v="203"/>
    <x v="1"/>
    <x v="1"/>
  </r>
  <r>
    <s v="ORD-10205"/>
    <x v="151"/>
    <s v="Customer 154"/>
    <x v="2"/>
    <x v="5"/>
    <x v="1"/>
    <n v="1"/>
    <n v="6524.81"/>
    <n v="0.15"/>
    <x v="204"/>
    <x v="2"/>
    <x v="0"/>
  </r>
  <r>
    <s v="ORD-10206"/>
    <x v="152"/>
    <s v="Customer 70"/>
    <x v="4"/>
    <x v="8"/>
    <x v="1"/>
    <n v="1"/>
    <n v="1174.6500000000001"/>
    <n v="0.05"/>
    <x v="205"/>
    <x v="1"/>
    <x v="1"/>
  </r>
  <r>
    <s v="ORD-10207"/>
    <x v="151"/>
    <s v="Customer 124"/>
    <x v="5"/>
    <x v="8"/>
    <x v="1"/>
    <n v="3"/>
    <n v="1295.21"/>
    <n v="0.05"/>
    <x v="206"/>
    <x v="3"/>
    <x v="1"/>
  </r>
  <r>
    <s v="ORD-10208"/>
    <x v="153"/>
    <s v="Customer 125"/>
    <x v="1"/>
    <x v="5"/>
    <x v="1"/>
    <n v="1"/>
    <n v="6102.93"/>
    <n v="0.05"/>
    <x v="207"/>
    <x v="2"/>
    <x v="0"/>
  </r>
  <r>
    <s v="ORD-10209"/>
    <x v="98"/>
    <s v="Customer 164"/>
    <x v="4"/>
    <x v="9"/>
    <x v="3"/>
    <n v="4"/>
    <n v="2845.32"/>
    <n v="0.05"/>
    <x v="208"/>
    <x v="1"/>
    <x v="0"/>
  </r>
  <r>
    <s v="ORD-10210"/>
    <x v="154"/>
    <s v="Customer 74"/>
    <x v="5"/>
    <x v="6"/>
    <x v="0"/>
    <n v="3"/>
    <n v="6934.83"/>
    <n v="0.05"/>
    <x v="209"/>
    <x v="3"/>
    <x v="0"/>
  </r>
  <r>
    <s v="ORD-10211"/>
    <x v="89"/>
    <s v="Customer 196"/>
    <x v="4"/>
    <x v="0"/>
    <x v="0"/>
    <n v="3"/>
    <n v="22754.560000000001"/>
    <n v="0"/>
    <x v="210"/>
    <x v="0"/>
    <x v="2"/>
  </r>
  <r>
    <s v="ORD-10212"/>
    <x v="155"/>
    <s v="Customer 21"/>
    <x v="4"/>
    <x v="0"/>
    <x v="0"/>
    <n v="2"/>
    <n v="18910.849999999999"/>
    <n v="0"/>
    <x v="211"/>
    <x v="2"/>
    <x v="0"/>
  </r>
  <r>
    <s v="ORD-10213"/>
    <x v="121"/>
    <s v="Customer 152"/>
    <x v="2"/>
    <x v="2"/>
    <x v="0"/>
    <n v="2"/>
    <n v="3417.51"/>
    <n v="0.05"/>
    <x v="212"/>
    <x v="1"/>
    <x v="0"/>
  </r>
  <r>
    <s v="ORD-10214"/>
    <x v="156"/>
    <s v="Customer 146"/>
    <x v="0"/>
    <x v="0"/>
    <x v="0"/>
    <n v="2"/>
    <n v="21719.98"/>
    <n v="0.15"/>
    <x v="213"/>
    <x v="2"/>
    <x v="0"/>
  </r>
  <r>
    <s v="ORD-10215"/>
    <x v="157"/>
    <s v="Customer 119"/>
    <x v="3"/>
    <x v="5"/>
    <x v="1"/>
    <n v="1"/>
    <n v="6980.04"/>
    <n v="0"/>
    <x v="214"/>
    <x v="3"/>
    <x v="0"/>
  </r>
  <r>
    <s v="ORD-10216"/>
    <x v="158"/>
    <s v="Customer 77"/>
    <x v="3"/>
    <x v="0"/>
    <x v="0"/>
    <n v="1"/>
    <n v="21579.439999999999"/>
    <n v="0"/>
    <x v="215"/>
    <x v="3"/>
    <x v="0"/>
  </r>
  <r>
    <s v="ORD-10217"/>
    <x v="159"/>
    <s v="Customer 167"/>
    <x v="2"/>
    <x v="6"/>
    <x v="0"/>
    <n v="1"/>
    <n v="7356.48"/>
    <n v="0.1"/>
    <x v="216"/>
    <x v="3"/>
    <x v="0"/>
  </r>
  <r>
    <s v="ORD-10218"/>
    <x v="70"/>
    <s v="Customer 167"/>
    <x v="3"/>
    <x v="0"/>
    <x v="0"/>
    <n v="3"/>
    <n v="20316.349999999999"/>
    <n v="0.1"/>
    <x v="217"/>
    <x v="1"/>
    <x v="0"/>
  </r>
  <r>
    <s v="ORD-10219"/>
    <x v="160"/>
    <s v="Customer 169"/>
    <x v="5"/>
    <x v="3"/>
    <x v="2"/>
    <n v="2"/>
    <n v="1752.1"/>
    <n v="0.05"/>
    <x v="218"/>
    <x v="2"/>
    <x v="0"/>
  </r>
  <r>
    <s v="ORD-10220"/>
    <x v="5"/>
    <s v="Customer 200"/>
    <x v="6"/>
    <x v="4"/>
    <x v="3"/>
    <n v="2"/>
    <n v="1644.85"/>
    <n v="0"/>
    <x v="219"/>
    <x v="0"/>
    <x v="0"/>
  </r>
  <r>
    <s v="ORD-10221"/>
    <x v="1"/>
    <s v="Customer 102"/>
    <x v="2"/>
    <x v="0"/>
    <x v="0"/>
    <n v="1"/>
    <n v="23075.39"/>
    <n v="0.1"/>
    <x v="220"/>
    <x v="0"/>
    <x v="1"/>
  </r>
  <r>
    <s v="ORD-10222"/>
    <x v="161"/>
    <s v="Customer 31"/>
    <x v="5"/>
    <x v="5"/>
    <x v="1"/>
    <n v="1"/>
    <n v="7094.91"/>
    <n v="0.05"/>
    <x v="221"/>
    <x v="3"/>
    <x v="0"/>
  </r>
  <r>
    <s v="ORD-10223"/>
    <x v="162"/>
    <s v="Customer 212"/>
    <x v="0"/>
    <x v="5"/>
    <x v="1"/>
    <n v="1"/>
    <n v="5851.61"/>
    <n v="0.15"/>
    <x v="222"/>
    <x v="2"/>
    <x v="0"/>
  </r>
  <r>
    <s v="ORD-10224"/>
    <x v="163"/>
    <s v="Customer 108"/>
    <x v="2"/>
    <x v="7"/>
    <x v="0"/>
    <n v="5"/>
    <n v="29328.21"/>
    <n v="0"/>
    <x v="223"/>
    <x v="3"/>
    <x v="1"/>
  </r>
  <r>
    <s v="ORD-10225"/>
    <x v="42"/>
    <s v="Customer 204"/>
    <x v="4"/>
    <x v="7"/>
    <x v="0"/>
    <n v="1"/>
    <n v="30042.240000000002"/>
    <n v="0.1"/>
    <x v="224"/>
    <x v="2"/>
    <x v="1"/>
  </r>
  <r>
    <s v="ORD-10226"/>
    <x v="164"/>
    <s v="Customer 2"/>
    <x v="0"/>
    <x v="7"/>
    <x v="0"/>
    <n v="1"/>
    <n v="27216.76"/>
    <n v="0"/>
    <x v="225"/>
    <x v="3"/>
    <x v="1"/>
  </r>
  <r>
    <s v="ORD-10227"/>
    <x v="68"/>
    <s v="Customer 6"/>
    <x v="0"/>
    <x v="0"/>
    <x v="0"/>
    <n v="1"/>
    <n v="21422.5"/>
    <n v="0.05"/>
    <x v="226"/>
    <x v="1"/>
    <x v="0"/>
  </r>
  <r>
    <s v="ORD-10228"/>
    <x v="165"/>
    <s v="Customer 166"/>
    <x v="7"/>
    <x v="6"/>
    <x v="0"/>
    <n v="3"/>
    <n v="8145.89"/>
    <n v="0"/>
    <x v="227"/>
    <x v="3"/>
    <x v="0"/>
  </r>
  <r>
    <s v="ORD-10229"/>
    <x v="108"/>
    <s v="Customer 73"/>
    <x v="5"/>
    <x v="1"/>
    <x v="1"/>
    <n v="3"/>
    <n v="5501.63"/>
    <n v="0.1"/>
    <x v="228"/>
    <x v="3"/>
    <x v="0"/>
  </r>
  <r>
    <s v="ORD-10230"/>
    <x v="117"/>
    <s v="Customer 25"/>
    <x v="6"/>
    <x v="2"/>
    <x v="0"/>
    <n v="1"/>
    <n v="3246.75"/>
    <n v="0.2"/>
    <x v="229"/>
    <x v="3"/>
    <x v="0"/>
  </r>
  <r>
    <s v="ORD-10231"/>
    <x v="166"/>
    <s v="Customer 125"/>
    <x v="1"/>
    <x v="0"/>
    <x v="0"/>
    <n v="2"/>
    <n v="22672.7"/>
    <n v="0"/>
    <x v="230"/>
    <x v="0"/>
    <x v="2"/>
  </r>
  <r>
    <s v="ORD-10232"/>
    <x v="101"/>
    <s v="Customer 79"/>
    <x v="1"/>
    <x v="4"/>
    <x v="3"/>
    <n v="2"/>
    <n v="1593.03"/>
    <n v="0"/>
    <x v="231"/>
    <x v="3"/>
    <x v="0"/>
  </r>
  <r>
    <s v="ORD-10233"/>
    <x v="167"/>
    <s v="Customer 60"/>
    <x v="5"/>
    <x v="6"/>
    <x v="0"/>
    <n v="1"/>
    <n v="7509.21"/>
    <n v="0"/>
    <x v="232"/>
    <x v="1"/>
    <x v="0"/>
  </r>
  <r>
    <s v="ORD-10234"/>
    <x v="12"/>
    <s v="Customer 211"/>
    <x v="6"/>
    <x v="7"/>
    <x v="0"/>
    <n v="2"/>
    <n v="27364.18"/>
    <n v="0.05"/>
    <x v="233"/>
    <x v="1"/>
    <x v="0"/>
  </r>
  <r>
    <s v="ORD-10235"/>
    <x v="168"/>
    <s v="Customer 137"/>
    <x v="0"/>
    <x v="8"/>
    <x v="1"/>
    <n v="2"/>
    <n v="1151.3699999999999"/>
    <n v="0.1"/>
    <x v="234"/>
    <x v="3"/>
    <x v="0"/>
  </r>
  <r>
    <s v="ORD-10236"/>
    <x v="6"/>
    <s v="Customer 4"/>
    <x v="5"/>
    <x v="0"/>
    <x v="0"/>
    <n v="1"/>
    <n v="19161.63"/>
    <n v="0.1"/>
    <x v="235"/>
    <x v="2"/>
    <x v="2"/>
  </r>
  <r>
    <s v="ORD-10237"/>
    <x v="16"/>
    <s v="Customer 178"/>
    <x v="5"/>
    <x v="3"/>
    <x v="2"/>
    <n v="1"/>
    <n v="1809.73"/>
    <n v="0.1"/>
    <x v="236"/>
    <x v="3"/>
    <x v="2"/>
  </r>
  <r>
    <s v="ORD-10238"/>
    <x v="108"/>
    <s v="Customer 199"/>
    <x v="3"/>
    <x v="5"/>
    <x v="1"/>
    <n v="1"/>
    <n v="6388.37"/>
    <n v="0.05"/>
    <x v="237"/>
    <x v="3"/>
    <x v="1"/>
  </r>
  <r>
    <s v="ORD-10239"/>
    <x v="169"/>
    <s v="Customer 149"/>
    <x v="6"/>
    <x v="7"/>
    <x v="0"/>
    <n v="1"/>
    <n v="25307.48"/>
    <n v="0.05"/>
    <x v="238"/>
    <x v="0"/>
    <x v="0"/>
  </r>
  <r>
    <s v="ORD-10240"/>
    <x v="92"/>
    <s v="Customer 181"/>
    <x v="6"/>
    <x v="8"/>
    <x v="1"/>
    <n v="1"/>
    <n v="1137.8900000000001"/>
    <n v="0"/>
    <x v="239"/>
    <x v="3"/>
    <x v="2"/>
  </r>
  <r>
    <s v="ORD-10241"/>
    <x v="170"/>
    <s v="Customer 183"/>
    <x v="3"/>
    <x v="8"/>
    <x v="1"/>
    <n v="1"/>
    <n v="1189.05"/>
    <n v="0.05"/>
    <x v="240"/>
    <x v="1"/>
    <x v="0"/>
  </r>
  <r>
    <s v="ORD-10242"/>
    <x v="171"/>
    <s v="Customer 180"/>
    <x v="3"/>
    <x v="1"/>
    <x v="1"/>
    <n v="1"/>
    <n v="5523.11"/>
    <n v="0.1"/>
    <x v="241"/>
    <x v="1"/>
    <x v="0"/>
  </r>
  <r>
    <s v="ORD-10243"/>
    <x v="114"/>
    <s v="Customer 130"/>
    <x v="1"/>
    <x v="6"/>
    <x v="0"/>
    <n v="1"/>
    <n v="7738.04"/>
    <n v="0"/>
    <x v="242"/>
    <x v="2"/>
    <x v="0"/>
  </r>
  <r>
    <s v="ORD-10244"/>
    <x v="172"/>
    <s v="Customer 34"/>
    <x v="0"/>
    <x v="4"/>
    <x v="3"/>
    <n v="1"/>
    <n v="1587.67"/>
    <n v="0.15"/>
    <x v="243"/>
    <x v="1"/>
    <x v="1"/>
  </r>
  <r>
    <s v="ORD-10245"/>
    <x v="173"/>
    <s v="Customer 101"/>
    <x v="3"/>
    <x v="3"/>
    <x v="2"/>
    <n v="1"/>
    <n v="1674.06"/>
    <n v="0.05"/>
    <x v="244"/>
    <x v="2"/>
    <x v="0"/>
  </r>
  <r>
    <s v="ORD-10246"/>
    <x v="174"/>
    <s v="Customer 148"/>
    <x v="3"/>
    <x v="9"/>
    <x v="3"/>
    <n v="1"/>
    <n v="2526.7800000000002"/>
    <n v="0"/>
    <x v="245"/>
    <x v="2"/>
    <x v="0"/>
  </r>
  <r>
    <s v="ORD-10247"/>
    <x v="175"/>
    <s v="Customer 51"/>
    <x v="0"/>
    <x v="0"/>
    <x v="0"/>
    <n v="1"/>
    <n v="21677.759999999998"/>
    <n v="0.1"/>
    <x v="246"/>
    <x v="1"/>
    <x v="0"/>
  </r>
  <r>
    <s v="ORD-10248"/>
    <x v="140"/>
    <s v="Customer 81"/>
    <x v="5"/>
    <x v="3"/>
    <x v="2"/>
    <n v="2"/>
    <n v="1627.54"/>
    <n v="0"/>
    <x v="247"/>
    <x v="2"/>
    <x v="1"/>
  </r>
  <r>
    <s v="ORD-10249"/>
    <x v="148"/>
    <s v="Customer 78"/>
    <x v="2"/>
    <x v="3"/>
    <x v="2"/>
    <n v="1"/>
    <n v="1663.7"/>
    <n v="0"/>
    <x v="248"/>
    <x v="3"/>
    <x v="2"/>
  </r>
  <r>
    <s v="ORD-10250"/>
    <x v="176"/>
    <s v="Customer 2"/>
    <x v="4"/>
    <x v="5"/>
    <x v="1"/>
    <n v="3"/>
    <n v="6012.8"/>
    <n v="0"/>
    <x v="249"/>
    <x v="3"/>
    <x v="1"/>
  </r>
  <r>
    <s v="ORD-10251"/>
    <x v="7"/>
    <s v="Customer 17"/>
    <x v="6"/>
    <x v="9"/>
    <x v="3"/>
    <n v="3"/>
    <n v="2591.73"/>
    <n v="0.1"/>
    <x v="74"/>
    <x v="0"/>
    <x v="0"/>
  </r>
  <r>
    <s v="ORD-10252"/>
    <x v="92"/>
    <s v="Customer 172"/>
    <x v="0"/>
    <x v="0"/>
    <x v="0"/>
    <n v="2"/>
    <n v="19587.47"/>
    <n v="0.05"/>
    <x v="250"/>
    <x v="1"/>
    <x v="0"/>
  </r>
  <r>
    <s v="ORD-10253"/>
    <x v="71"/>
    <s v="Customer 175"/>
    <x v="6"/>
    <x v="6"/>
    <x v="0"/>
    <n v="2"/>
    <n v="8068.9"/>
    <n v="0"/>
    <x v="251"/>
    <x v="3"/>
    <x v="1"/>
  </r>
  <r>
    <s v="ORD-10254"/>
    <x v="2"/>
    <s v="Customer 203"/>
    <x v="4"/>
    <x v="5"/>
    <x v="1"/>
    <n v="3"/>
    <n v="6859.38"/>
    <n v="0.1"/>
    <x v="252"/>
    <x v="1"/>
    <x v="2"/>
  </r>
  <r>
    <s v="ORD-10255"/>
    <x v="177"/>
    <s v="Customer 50"/>
    <x v="5"/>
    <x v="6"/>
    <x v="0"/>
    <n v="1"/>
    <n v="6947.59"/>
    <n v="0"/>
    <x v="253"/>
    <x v="0"/>
    <x v="0"/>
  </r>
  <r>
    <s v="ORD-10256"/>
    <x v="178"/>
    <s v="Customer 3"/>
    <x v="5"/>
    <x v="4"/>
    <x v="3"/>
    <n v="2"/>
    <n v="1628.91"/>
    <n v="0.05"/>
    <x v="254"/>
    <x v="1"/>
    <x v="1"/>
  </r>
  <r>
    <s v="ORD-10257"/>
    <x v="83"/>
    <s v="Customer 136"/>
    <x v="6"/>
    <x v="9"/>
    <x v="3"/>
    <n v="3"/>
    <n v="2946.23"/>
    <n v="0.1"/>
    <x v="255"/>
    <x v="1"/>
    <x v="0"/>
  </r>
  <r>
    <s v="ORD-10258"/>
    <x v="179"/>
    <s v="Customer 64"/>
    <x v="6"/>
    <x v="2"/>
    <x v="0"/>
    <n v="2"/>
    <n v="2943.47"/>
    <n v="0.2"/>
    <x v="256"/>
    <x v="1"/>
    <x v="0"/>
  </r>
  <r>
    <s v="ORD-10259"/>
    <x v="180"/>
    <s v="Customer 13"/>
    <x v="2"/>
    <x v="8"/>
    <x v="1"/>
    <n v="2"/>
    <n v="1125.1300000000001"/>
    <n v="0.1"/>
    <x v="257"/>
    <x v="2"/>
    <x v="0"/>
  </r>
  <r>
    <s v="ORD-10260"/>
    <x v="181"/>
    <s v="Customer 162"/>
    <x v="3"/>
    <x v="4"/>
    <x v="3"/>
    <n v="3"/>
    <n v="1443.53"/>
    <n v="0.15"/>
    <x v="258"/>
    <x v="3"/>
    <x v="1"/>
  </r>
  <r>
    <s v="ORD-10261"/>
    <x v="182"/>
    <s v="Customer 132"/>
    <x v="5"/>
    <x v="9"/>
    <x v="3"/>
    <n v="3"/>
    <n v="2801.15"/>
    <n v="0.05"/>
    <x v="259"/>
    <x v="3"/>
    <x v="1"/>
  </r>
  <r>
    <s v="ORD-10262"/>
    <x v="183"/>
    <s v="Customer 103"/>
    <x v="3"/>
    <x v="4"/>
    <x v="3"/>
    <n v="1"/>
    <n v="1652.17"/>
    <n v="0"/>
    <x v="260"/>
    <x v="1"/>
    <x v="1"/>
  </r>
  <r>
    <s v="ORD-10263"/>
    <x v="86"/>
    <s v="Customer 14"/>
    <x v="0"/>
    <x v="0"/>
    <x v="0"/>
    <n v="3"/>
    <n v="21370.45"/>
    <n v="0"/>
    <x v="261"/>
    <x v="2"/>
    <x v="0"/>
  </r>
  <r>
    <s v="ORD-10264"/>
    <x v="129"/>
    <s v="Customer 82"/>
    <x v="0"/>
    <x v="2"/>
    <x v="0"/>
    <n v="2"/>
    <n v="3191.42"/>
    <n v="0"/>
    <x v="262"/>
    <x v="0"/>
    <x v="0"/>
  </r>
  <r>
    <s v="ORD-10265"/>
    <x v="184"/>
    <s v="Customer 30"/>
    <x v="6"/>
    <x v="0"/>
    <x v="0"/>
    <n v="2"/>
    <n v="21820.75"/>
    <n v="0"/>
    <x v="263"/>
    <x v="1"/>
    <x v="0"/>
  </r>
  <r>
    <s v="ORD-10266"/>
    <x v="19"/>
    <s v="Customer 183"/>
    <x v="2"/>
    <x v="4"/>
    <x v="3"/>
    <n v="2"/>
    <n v="1479.16"/>
    <n v="0.05"/>
    <x v="264"/>
    <x v="1"/>
    <x v="0"/>
  </r>
  <r>
    <s v="ORD-10267"/>
    <x v="155"/>
    <s v="Customer 45"/>
    <x v="2"/>
    <x v="7"/>
    <x v="0"/>
    <n v="3"/>
    <n v="29308.25"/>
    <n v="0.1"/>
    <x v="265"/>
    <x v="3"/>
    <x v="1"/>
  </r>
  <r>
    <s v="ORD-10268"/>
    <x v="185"/>
    <s v="Customer 75"/>
    <x v="5"/>
    <x v="8"/>
    <x v="1"/>
    <n v="1"/>
    <n v="1317.87"/>
    <n v="0.1"/>
    <x v="266"/>
    <x v="3"/>
    <x v="2"/>
  </r>
  <r>
    <s v="ORD-10269"/>
    <x v="186"/>
    <s v="Customer 113"/>
    <x v="4"/>
    <x v="2"/>
    <x v="0"/>
    <n v="2"/>
    <n v="2985.79"/>
    <n v="0.2"/>
    <x v="267"/>
    <x v="1"/>
    <x v="1"/>
  </r>
  <r>
    <s v="ORD-10270"/>
    <x v="91"/>
    <s v="Customer 46"/>
    <x v="6"/>
    <x v="9"/>
    <x v="3"/>
    <n v="4"/>
    <n v="2551.44"/>
    <n v="0.1"/>
    <x v="268"/>
    <x v="0"/>
    <x v="0"/>
  </r>
  <r>
    <s v="ORD-10271"/>
    <x v="187"/>
    <s v="Customer 70"/>
    <x v="6"/>
    <x v="5"/>
    <x v="1"/>
    <n v="1"/>
    <n v="7068.56"/>
    <n v="0.05"/>
    <x v="269"/>
    <x v="2"/>
    <x v="0"/>
  </r>
  <r>
    <s v="ORD-10272"/>
    <x v="188"/>
    <s v="Customer 182"/>
    <x v="4"/>
    <x v="1"/>
    <x v="1"/>
    <n v="3"/>
    <n v="4687.3100000000004"/>
    <n v="0.1"/>
    <x v="270"/>
    <x v="2"/>
    <x v="0"/>
  </r>
  <r>
    <s v="ORD-10273"/>
    <x v="102"/>
    <s v="Customer 106"/>
    <x v="4"/>
    <x v="5"/>
    <x v="1"/>
    <n v="4"/>
    <n v="5867.42"/>
    <n v="0.05"/>
    <x v="271"/>
    <x v="1"/>
    <x v="0"/>
  </r>
  <r>
    <s v="ORD-10274"/>
    <x v="189"/>
    <s v="Customer 106"/>
    <x v="2"/>
    <x v="2"/>
    <x v="0"/>
    <n v="3"/>
    <n v="3054.05"/>
    <n v="0"/>
    <x v="272"/>
    <x v="3"/>
    <x v="0"/>
  </r>
  <r>
    <s v="ORD-10275"/>
    <x v="190"/>
    <s v="Customer 185"/>
    <x v="3"/>
    <x v="2"/>
    <x v="0"/>
    <n v="3"/>
    <n v="3276.61"/>
    <n v="0"/>
    <x v="273"/>
    <x v="2"/>
    <x v="0"/>
  </r>
  <r>
    <s v="ORD-10276"/>
    <x v="172"/>
    <s v="Customer 148"/>
    <x v="5"/>
    <x v="4"/>
    <x v="3"/>
    <n v="1"/>
    <n v="1674.38"/>
    <n v="0"/>
    <x v="274"/>
    <x v="2"/>
    <x v="2"/>
  </r>
  <r>
    <s v="ORD-10277"/>
    <x v="191"/>
    <s v="Customer 21"/>
    <x v="6"/>
    <x v="7"/>
    <x v="0"/>
    <n v="1"/>
    <n v="29292.6"/>
    <n v="0"/>
    <x v="275"/>
    <x v="3"/>
    <x v="1"/>
  </r>
  <r>
    <s v="ORD-10278"/>
    <x v="157"/>
    <s v="Customer 178"/>
    <x v="3"/>
    <x v="2"/>
    <x v="0"/>
    <n v="2"/>
    <n v="3502.08"/>
    <n v="0.05"/>
    <x v="276"/>
    <x v="2"/>
    <x v="0"/>
  </r>
  <r>
    <s v="ORD-10279"/>
    <x v="78"/>
    <s v="Customer 98"/>
    <x v="1"/>
    <x v="7"/>
    <x v="0"/>
    <n v="2"/>
    <n v="30690.89"/>
    <n v="0.05"/>
    <x v="277"/>
    <x v="1"/>
    <x v="0"/>
  </r>
  <r>
    <s v="ORD-10280"/>
    <x v="192"/>
    <s v="Customer 65"/>
    <x v="6"/>
    <x v="4"/>
    <x v="3"/>
    <n v="2"/>
    <n v="1512.37"/>
    <n v="0.1"/>
    <x v="278"/>
    <x v="3"/>
    <x v="0"/>
  </r>
  <r>
    <s v="ORD-10281"/>
    <x v="159"/>
    <s v="Customer 167"/>
    <x v="4"/>
    <x v="3"/>
    <x v="2"/>
    <n v="1"/>
    <n v="1930.32"/>
    <n v="0"/>
    <x v="279"/>
    <x v="2"/>
    <x v="0"/>
  </r>
  <r>
    <s v="ORD-10282"/>
    <x v="193"/>
    <s v="Customer 49"/>
    <x v="5"/>
    <x v="8"/>
    <x v="1"/>
    <n v="3"/>
    <n v="1092.47"/>
    <n v="0.05"/>
    <x v="280"/>
    <x v="3"/>
    <x v="0"/>
  </r>
  <r>
    <s v="ORD-10283"/>
    <x v="92"/>
    <s v="Customer 79"/>
    <x v="4"/>
    <x v="0"/>
    <x v="0"/>
    <n v="2"/>
    <n v="19760.5"/>
    <n v="0.05"/>
    <x v="281"/>
    <x v="2"/>
    <x v="2"/>
  </r>
  <r>
    <s v="ORD-10284"/>
    <x v="194"/>
    <s v="Customer 153"/>
    <x v="4"/>
    <x v="2"/>
    <x v="0"/>
    <n v="1"/>
    <n v="3374.09"/>
    <n v="0.2"/>
    <x v="282"/>
    <x v="0"/>
    <x v="2"/>
  </r>
  <r>
    <s v="ORD-10285"/>
    <x v="195"/>
    <s v="Customer 123"/>
    <x v="6"/>
    <x v="8"/>
    <x v="1"/>
    <n v="1"/>
    <n v="1237.6300000000001"/>
    <n v="0"/>
    <x v="283"/>
    <x v="0"/>
    <x v="1"/>
  </r>
  <r>
    <s v="ORD-10286"/>
    <x v="188"/>
    <s v="Customer 164"/>
    <x v="3"/>
    <x v="6"/>
    <x v="0"/>
    <n v="1"/>
    <n v="7180.71"/>
    <n v="0.05"/>
    <x v="284"/>
    <x v="3"/>
    <x v="0"/>
  </r>
  <r>
    <s v="ORD-10287"/>
    <x v="196"/>
    <s v="Customer 212"/>
    <x v="7"/>
    <x v="3"/>
    <x v="2"/>
    <n v="1"/>
    <n v="1807.27"/>
    <n v="0.15"/>
    <x v="285"/>
    <x v="2"/>
    <x v="0"/>
  </r>
  <r>
    <s v="ORD-10288"/>
    <x v="140"/>
    <s v="Customer 129"/>
    <x v="5"/>
    <x v="3"/>
    <x v="2"/>
    <n v="1"/>
    <n v="1680.79"/>
    <n v="0.15"/>
    <x v="286"/>
    <x v="2"/>
    <x v="0"/>
  </r>
  <r>
    <s v="ORD-10289"/>
    <x v="197"/>
    <s v="Customer 19"/>
    <x v="2"/>
    <x v="9"/>
    <x v="3"/>
    <n v="3"/>
    <n v="2967.21"/>
    <n v="0"/>
    <x v="287"/>
    <x v="2"/>
    <x v="1"/>
  </r>
  <r>
    <s v="ORD-10290"/>
    <x v="129"/>
    <s v="Customer 13"/>
    <x v="6"/>
    <x v="0"/>
    <x v="0"/>
    <n v="5"/>
    <n v="19414.22"/>
    <n v="0.05"/>
    <x v="288"/>
    <x v="2"/>
    <x v="2"/>
  </r>
  <r>
    <s v="ORD-10291"/>
    <x v="142"/>
    <s v="Customer 97"/>
    <x v="1"/>
    <x v="6"/>
    <x v="0"/>
    <n v="2"/>
    <n v="7780.29"/>
    <n v="0"/>
    <x v="289"/>
    <x v="3"/>
    <x v="2"/>
  </r>
  <r>
    <s v="ORD-10292"/>
    <x v="198"/>
    <s v="Customer 116"/>
    <x v="4"/>
    <x v="2"/>
    <x v="0"/>
    <n v="1"/>
    <n v="3095.58"/>
    <n v="0.2"/>
    <x v="290"/>
    <x v="1"/>
    <x v="0"/>
  </r>
  <r>
    <s v="ORD-10293"/>
    <x v="92"/>
    <s v="Customer 216"/>
    <x v="6"/>
    <x v="9"/>
    <x v="3"/>
    <n v="5"/>
    <n v="2884.93"/>
    <n v="0.15"/>
    <x v="291"/>
    <x v="1"/>
    <x v="2"/>
  </r>
  <r>
    <s v="ORD-10294"/>
    <x v="112"/>
    <s v="Customer 161"/>
    <x v="3"/>
    <x v="0"/>
    <x v="0"/>
    <n v="1"/>
    <n v="22369.11"/>
    <n v="0.1"/>
    <x v="292"/>
    <x v="0"/>
    <x v="0"/>
  </r>
  <r>
    <s v="ORD-10295"/>
    <x v="125"/>
    <s v="Customer 128"/>
    <x v="4"/>
    <x v="0"/>
    <x v="0"/>
    <n v="1"/>
    <n v="21634.82"/>
    <n v="0.1"/>
    <x v="293"/>
    <x v="3"/>
    <x v="2"/>
  </r>
  <r>
    <s v="ORD-10296"/>
    <x v="42"/>
    <s v="Customer 162"/>
    <x v="6"/>
    <x v="5"/>
    <x v="1"/>
    <n v="5"/>
    <n v="6014.14"/>
    <n v="0.1"/>
    <x v="294"/>
    <x v="0"/>
    <x v="1"/>
  </r>
  <r>
    <s v="ORD-10297"/>
    <x v="85"/>
    <s v="Customer 87"/>
    <x v="5"/>
    <x v="7"/>
    <x v="0"/>
    <n v="1"/>
    <n v="26472.21"/>
    <n v="0.15"/>
    <x v="295"/>
    <x v="0"/>
    <x v="1"/>
  </r>
  <r>
    <s v="ORD-10298"/>
    <x v="151"/>
    <s v="Customer 181"/>
    <x v="4"/>
    <x v="8"/>
    <x v="1"/>
    <n v="1"/>
    <n v="1087.97"/>
    <n v="0"/>
    <x v="296"/>
    <x v="2"/>
    <x v="2"/>
  </r>
  <r>
    <s v="ORD-10299"/>
    <x v="199"/>
    <s v="Customer 115"/>
    <x v="2"/>
    <x v="1"/>
    <x v="1"/>
    <n v="2"/>
    <n v="5371.58"/>
    <n v="0.1"/>
    <x v="297"/>
    <x v="1"/>
    <x v="1"/>
  </r>
  <r>
    <s v="ORD-10300"/>
    <x v="45"/>
    <s v="Customer 72"/>
    <x v="4"/>
    <x v="8"/>
    <x v="1"/>
    <n v="1"/>
    <n v="1190.49"/>
    <n v="0.05"/>
    <x v="298"/>
    <x v="0"/>
    <x v="0"/>
  </r>
  <r>
    <s v="ORD-10301"/>
    <x v="200"/>
    <s v="Customer 154"/>
    <x v="4"/>
    <x v="4"/>
    <x v="3"/>
    <n v="1"/>
    <n v="1574.86"/>
    <n v="0"/>
    <x v="299"/>
    <x v="0"/>
    <x v="0"/>
  </r>
  <r>
    <s v="ORD-10302"/>
    <x v="201"/>
    <s v="Customer 212"/>
    <x v="3"/>
    <x v="9"/>
    <x v="3"/>
    <n v="5"/>
    <n v="2911.62"/>
    <n v="0.15"/>
    <x v="300"/>
    <x v="0"/>
    <x v="1"/>
  </r>
  <r>
    <s v="ORD-10303"/>
    <x v="123"/>
    <s v="Customer 166"/>
    <x v="3"/>
    <x v="8"/>
    <x v="1"/>
    <n v="2"/>
    <n v="1232.42"/>
    <n v="0.05"/>
    <x v="301"/>
    <x v="3"/>
    <x v="0"/>
  </r>
  <r>
    <s v="ORD-10304"/>
    <x v="202"/>
    <s v="Customer 203"/>
    <x v="3"/>
    <x v="0"/>
    <x v="0"/>
    <n v="1"/>
    <n v="20092.080000000002"/>
    <n v="0.05"/>
    <x v="302"/>
    <x v="0"/>
    <x v="0"/>
  </r>
  <r>
    <s v="ORD-10305"/>
    <x v="25"/>
    <s v="Customer 105"/>
    <x v="3"/>
    <x v="9"/>
    <x v="3"/>
    <n v="2"/>
    <n v="3011.25"/>
    <n v="0"/>
    <x v="303"/>
    <x v="1"/>
    <x v="0"/>
  </r>
  <r>
    <s v="ORD-10306"/>
    <x v="129"/>
    <s v="Customer 12"/>
    <x v="0"/>
    <x v="6"/>
    <x v="0"/>
    <n v="2"/>
    <n v="8007.23"/>
    <n v="0.05"/>
    <x v="304"/>
    <x v="0"/>
    <x v="2"/>
  </r>
  <r>
    <s v="ORD-10307"/>
    <x v="203"/>
    <s v="Customer 161"/>
    <x v="3"/>
    <x v="1"/>
    <x v="1"/>
    <n v="2"/>
    <n v="5544.63"/>
    <n v="0"/>
    <x v="305"/>
    <x v="3"/>
    <x v="0"/>
  </r>
  <r>
    <s v="ORD-10308"/>
    <x v="64"/>
    <s v="Customer 45"/>
    <x v="5"/>
    <x v="7"/>
    <x v="0"/>
    <n v="3"/>
    <n v="30552.62"/>
    <n v="0"/>
    <x v="306"/>
    <x v="0"/>
    <x v="0"/>
  </r>
  <r>
    <s v="ORD-10309"/>
    <x v="170"/>
    <s v="Customer 93"/>
    <x v="4"/>
    <x v="1"/>
    <x v="1"/>
    <n v="1"/>
    <n v="5034.45"/>
    <n v="0"/>
    <x v="307"/>
    <x v="2"/>
    <x v="2"/>
  </r>
  <r>
    <s v="ORD-10310"/>
    <x v="60"/>
    <s v="Customer 28"/>
    <x v="1"/>
    <x v="5"/>
    <x v="1"/>
    <n v="3"/>
    <n v="6729.35"/>
    <n v="0.1"/>
    <x v="308"/>
    <x v="1"/>
    <x v="1"/>
  </r>
  <r>
    <s v="ORD-10311"/>
    <x v="204"/>
    <s v="Customer 1"/>
    <x v="5"/>
    <x v="6"/>
    <x v="0"/>
    <n v="1"/>
    <n v="7459.35"/>
    <n v="0"/>
    <x v="309"/>
    <x v="1"/>
    <x v="0"/>
  </r>
  <r>
    <s v="ORD-10312"/>
    <x v="162"/>
    <s v="Customer 211"/>
    <x v="1"/>
    <x v="2"/>
    <x v="0"/>
    <n v="1"/>
    <n v="2909.22"/>
    <n v="0.05"/>
    <x v="310"/>
    <x v="1"/>
    <x v="2"/>
  </r>
  <r>
    <s v="ORD-10313"/>
    <x v="205"/>
    <s v="Customer 84"/>
    <x v="2"/>
    <x v="0"/>
    <x v="0"/>
    <n v="1"/>
    <n v="21465.279999999999"/>
    <n v="0"/>
    <x v="311"/>
    <x v="3"/>
    <x v="0"/>
  </r>
  <r>
    <s v="ORD-10314"/>
    <x v="127"/>
    <s v="Customer 90"/>
    <x v="5"/>
    <x v="1"/>
    <x v="1"/>
    <n v="1"/>
    <n v="5557.68"/>
    <n v="0.15"/>
    <x v="312"/>
    <x v="3"/>
    <x v="0"/>
  </r>
  <r>
    <s v="ORD-10315"/>
    <x v="206"/>
    <s v="Customer 37"/>
    <x v="2"/>
    <x v="2"/>
    <x v="0"/>
    <n v="1"/>
    <n v="3057.81"/>
    <n v="0"/>
    <x v="313"/>
    <x v="3"/>
    <x v="2"/>
  </r>
  <r>
    <s v="ORD-10316"/>
    <x v="65"/>
    <s v="Customer 11"/>
    <x v="4"/>
    <x v="8"/>
    <x v="1"/>
    <n v="3"/>
    <n v="1087.1199999999999"/>
    <n v="0.05"/>
    <x v="314"/>
    <x v="0"/>
    <x v="0"/>
  </r>
  <r>
    <s v="ORD-10317"/>
    <x v="121"/>
    <s v="Customer 200"/>
    <x v="3"/>
    <x v="6"/>
    <x v="0"/>
    <n v="1"/>
    <n v="7844.79"/>
    <n v="0.05"/>
    <x v="315"/>
    <x v="3"/>
    <x v="0"/>
  </r>
  <r>
    <s v="ORD-10318"/>
    <x v="64"/>
    <s v="Customer 153"/>
    <x v="0"/>
    <x v="9"/>
    <x v="3"/>
    <n v="1"/>
    <n v="3054.26"/>
    <n v="0.1"/>
    <x v="316"/>
    <x v="1"/>
    <x v="0"/>
  </r>
  <r>
    <s v="ORD-10319"/>
    <x v="148"/>
    <s v="Customer 161"/>
    <x v="5"/>
    <x v="2"/>
    <x v="0"/>
    <n v="1"/>
    <n v="3319.42"/>
    <n v="0.1"/>
    <x v="317"/>
    <x v="2"/>
    <x v="0"/>
  </r>
  <r>
    <s v="ORD-10320"/>
    <x v="207"/>
    <s v="Customer 143"/>
    <x v="2"/>
    <x v="7"/>
    <x v="0"/>
    <n v="1"/>
    <n v="25597.64"/>
    <n v="0.1"/>
    <x v="318"/>
    <x v="0"/>
    <x v="0"/>
  </r>
  <r>
    <s v="ORD-10321"/>
    <x v="199"/>
    <s v="Customer 51"/>
    <x v="4"/>
    <x v="3"/>
    <x v="2"/>
    <n v="2"/>
    <n v="1835.53"/>
    <n v="0.15"/>
    <x v="319"/>
    <x v="3"/>
    <x v="1"/>
  </r>
  <r>
    <s v="ORD-10322"/>
    <x v="208"/>
    <s v="Customer 131"/>
    <x v="4"/>
    <x v="1"/>
    <x v="1"/>
    <n v="2"/>
    <n v="5618.55"/>
    <n v="0"/>
    <x v="320"/>
    <x v="2"/>
    <x v="2"/>
  </r>
  <r>
    <s v="ORD-10323"/>
    <x v="209"/>
    <s v="Customer 213"/>
    <x v="4"/>
    <x v="9"/>
    <x v="3"/>
    <n v="2"/>
    <n v="2567.2600000000002"/>
    <n v="0.05"/>
    <x v="321"/>
    <x v="3"/>
    <x v="0"/>
  </r>
  <r>
    <s v="ORD-10324"/>
    <x v="186"/>
    <s v="Customer 146"/>
    <x v="1"/>
    <x v="5"/>
    <x v="1"/>
    <n v="3"/>
    <n v="6353.61"/>
    <n v="0"/>
    <x v="322"/>
    <x v="0"/>
    <x v="0"/>
  </r>
  <r>
    <s v="ORD-10325"/>
    <x v="70"/>
    <s v="Customer 195"/>
    <x v="0"/>
    <x v="8"/>
    <x v="1"/>
    <n v="3"/>
    <n v="1134.31"/>
    <n v="0.05"/>
    <x v="323"/>
    <x v="2"/>
    <x v="1"/>
  </r>
  <r>
    <s v="ORD-10326"/>
    <x v="144"/>
    <s v="Customer 118"/>
    <x v="1"/>
    <x v="9"/>
    <x v="3"/>
    <n v="1"/>
    <n v="2526.89"/>
    <n v="0.15"/>
    <x v="324"/>
    <x v="2"/>
    <x v="1"/>
  </r>
  <r>
    <s v="ORD-10327"/>
    <x v="210"/>
    <s v="Customer 65"/>
    <x v="2"/>
    <x v="0"/>
    <x v="0"/>
    <n v="1"/>
    <n v="19498.900000000001"/>
    <n v="0.05"/>
    <x v="325"/>
    <x v="0"/>
    <x v="0"/>
  </r>
  <r>
    <s v="ORD-10328"/>
    <x v="20"/>
    <s v="Customer 139"/>
    <x v="2"/>
    <x v="7"/>
    <x v="0"/>
    <n v="2"/>
    <n v="27107.38"/>
    <n v="0.1"/>
    <x v="326"/>
    <x v="3"/>
    <x v="1"/>
  </r>
  <r>
    <s v="ORD-10329"/>
    <x v="211"/>
    <s v="Customer 31"/>
    <x v="1"/>
    <x v="3"/>
    <x v="2"/>
    <n v="1"/>
    <n v="1975.69"/>
    <n v="0"/>
    <x v="327"/>
    <x v="3"/>
    <x v="0"/>
  </r>
  <r>
    <s v="ORD-10330"/>
    <x v="6"/>
    <s v="Customer 154"/>
    <x v="0"/>
    <x v="8"/>
    <x v="1"/>
    <n v="1"/>
    <n v="1311.36"/>
    <n v="0.05"/>
    <x v="328"/>
    <x v="1"/>
    <x v="0"/>
  </r>
  <r>
    <s v="ORD-10331"/>
    <x v="212"/>
    <s v="Customer 30"/>
    <x v="6"/>
    <x v="5"/>
    <x v="1"/>
    <n v="1"/>
    <n v="6833.08"/>
    <n v="0"/>
    <x v="329"/>
    <x v="3"/>
    <x v="2"/>
  </r>
  <r>
    <s v="ORD-10332"/>
    <x v="118"/>
    <s v="Customer 201"/>
    <x v="2"/>
    <x v="0"/>
    <x v="0"/>
    <n v="1"/>
    <n v="20765.34"/>
    <n v="0.05"/>
    <x v="330"/>
    <x v="3"/>
    <x v="0"/>
  </r>
  <r>
    <s v="ORD-10333"/>
    <x v="213"/>
    <s v="Customer 69"/>
    <x v="3"/>
    <x v="6"/>
    <x v="0"/>
    <n v="1"/>
    <n v="7260.58"/>
    <n v="0.05"/>
    <x v="331"/>
    <x v="3"/>
    <x v="1"/>
  </r>
  <r>
    <s v="ORD-10334"/>
    <x v="165"/>
    <s v="Customer 98"/>
    <x v="3"/>
    <x v="8"/>
    <x v="1"/>
    <n v="2"/>
    <n v="1185.71"/>
    <n v="0.15"/>
    <x v="332"/>
    <x v="0"/>
    <x v="0"/>
  </r>
  <r>
    <s v="ORD-10335"/>
    <x v="148"/>
    <s v="Customer 129"/>
    <x v="1"/>
    <x v="8"/>
    <x v="1"/>
    <n v="2"/>
    <n v="1279.3699999999999"/>
    <m/>
    <x v="333"/>
    <x v="0"/>
    <x v="0"/>
  </r>
  <r>
    <s v="ORD-10336"/>
    <x v="35"/>
    <s v="Customer 99"/>
    <x v="1"/>
    <x v="5"/>
    <x v="1"/>
    <n v="2"/>
    <n v="6372.31"/>
    <n v="0.05"/>
    <x v="334"/>
    <x v="1"/>
    <x v="1"/>
  </r>
  <r>
    <s v="ORD-10337"/>
    <x v="201"/>
    <s v="Customer 5"/>
    <x v="2"/>
    <x v="8"/>
    <x v="1"/>
    <n v="2"/>
    <n v="1174.83"/>
    <n v="0"/>
    <x v="335"/>
    <x v="3"/>
    <x v="0"/>
  </r>
  <r>
    <s v="ORD-10338"/>
    <x v="61"/>
    <s v="Customer 47"/>
    <x v="1"/>
    <x v="2"/>
    <x v="0"/>
    <n v="4"/>
    <n v="3342.17"/>
    <n v="0.15"/>
    <x v="336"/>
    <x v="1"/>
    <x v="0"/>
  </r>
  <r>
    <s v="ORD-10339"/>
    <x v="66"/>
    <s v="Customer 12"/>
    <x v="4"/>
    <x v="4"/>
    <x v="3"/>
    <n v="1"/>
    <n v="1528.25"/>
    <n v="0.1"/>
    <x v="337"/>
    <x v="3"/>
    <x v="2"/>
  </r>
  <r>
    <s v="ORD-10340"/>
    <x v="52"/>
    <s v="Customer 102"/>
    <x v="0"/>
    <x v="8"/>
    <x v="1"/>
    <n v="1"/>
    <n v="1198.06"/>
    <n v="0.1"/>
    <x v="338"/>
    <x v="3"/>
    <x v="1"/>
  </r>
  <r>
    <s v="ORD-10341"/>
    <x v="13"/>
    <s v="Customer 181"/>
    <x v="4"/>
    <x v="5"/>
    <x v="1"/>
    <n v="2"/>
    <n v="6320.95"/>
    <n v="0.15"/>
    <x v="339"/>
    <x v="0"/>
    <x v="0"/>
  </r>
  <r>
    <s v="ORD-10342"/>
    <x v="214"/>
    <s v="Customer 73"/>
    <x v="1"/>
    <x v="4"/>
    <x v="3"/>
    <n v="2"/>
    <n v="1745.94"/>
    <n v="0.05"/>
    <x v="340"/>
    <x v="3"/>
    <x v="0"/>
  </r>
  <r>
    <s v="ORD-10343"/>
    <x v="215"/>
    <s v="Customer 13"/>
    <x v="5"/>
    <x v="4"/>
    <x v="3"/>
    <n v="3"/>
    <n v="1722.71"/>
    <n v="0"/>
    <x v="341"/>
    <x v="1"/>
    <x v="0"/>
  </r>
  <r>
    <s v="ORD-10344"/>
    <x v="126"/>
    <s v="Customer 54"/>
    <x v="6"/>
    <x v="9"/>
    <x v="3"/>
    <n v="2"/>
    <n v="2537.11"/>
    <n v="0.15"/>
    <x v="342"/>
    <x v="1"/>
    <x v="1"/>
  </r>
  <r>
    <s v="ORD-10345"/>
    <x v="216"/>
    <s v="Customer 57"/>
    <x v="4"/>
    <x v="3"/>
    <x v="2"/>
    <n v="3"/>
    <n v="1883.9"/>
    <n v="0"/>
    <x v="343"/>
    <x v="0"/>
    <x v="2"/>
  </r>
  <r>
    <s v="ORD-10346"/>
    <x v="217"/>
    <s v="Customer 65"/>
    <x v="1"/>
    <x v="2"/>
    <x v="0"/>
    <n v="5"/>
    <n v="2881.48"/>
    <n v="0"/>
    <x v="344"/>
    <x v="3"/>
    <x v="1"/>
  </r>
  <r>
    <s v="ORD-10347"/>
    <x v="218"/>
    <s v="Customer 127"/>
    <x v="2"/>
    <x v="7"/>
    <x v="0"/>
    <n v="1"/>
    <n v="29802.79"/>
    <n v="0.15"/>
    <x v="345"/>
    <x v="2"/>
    <x v="1"/>
  </r>
  <r>
    <s v="ORD-10348"/>
    <x v="6"/>
    <s v="Customer 158"/>
    <x v="5"/>
    <x v="7"/>
    <x v="0"/>
    <n v="1"/>
    <n v="26769.87"/>
    <n v="0.1"/>
    <x v="346"/>
    <x v="1"/>
    <x v="0"/>
  </r>
  <r>
    <s v="ORD-10349"/>
    <x v="219"/>
    <s v="Customer 61"/>
    <x v="0"/>
    <x v="8"/>
    <x v="1"/>
    <n v="2"/>
    <n v="1247.46"/>
    <n v="0.05"/>
    <x v="347"/>
    <x v="0"/>
    <x v="2"/>
  </r>
  <r>
    <s v="ORD-10350"/>
    <x v="220"/>
    <s v="Customer 188"/>
    <x v="6"/>
    <x v="9"/>
    <x v="3"/>
    <n v="1"/>
    <n v="2655.65"/>
    <n v="0.15"/>
    <x v="348"/>
    <x v="1"/>
    <x v="1"/>
  </r>
  <r>
    <s v="ORD-10351"/>
    <x v="55"/>
    <s v="Customer 206"/>
    <x v="4"/>
    <x v="3"/>
    <x v="2"/>
    <n v="1"/>
    <n v="1764.47"/>
    <n v="0.15"/>
    <x v="74"/>
    <x v="0"/>
    <x v="2"/>
  </r>
  <r>
    <s v="ORD-10352"/>
    <x v="221"/>
    <s v="Customer 21"/>
    <x v="0"/>
    <x v="0"/>
    <x v="0"/>
    <n v="1"/>
    <n v="21590"/>
    <n v="0"/>
    <x v="349"/>
    <x v="3"/>
    <x v="0"/>
  </r>
  <r>
    <s v="ORD-10353"/>
    <x v="222"/>
    <s v="Customer 10"/>
    <x v="1"/>
    <x v="9"/>
    <x v="3"/>
    <n v="1"/>
    <n v="3005.48"/>
    <n v="0.1"/>
    <x v="350"/>
    <x v="2"/>
    <x v="1"/>
  </r>
  <r>
    <s v="ORD-10354"/>
    <x v="54"/>
    <s v="Customer 152"/>
    <x v="5"/>
    <x v="3"/>
    <x v="2"/>
    <n v="2"/>
    <n v="1704.48"/>
    <n v="0.05"/>
    <x v="351"/>
    <x v="1"/>
    <x v="1"/>
  </r>
  <r>
    <s v="ORD-10355"/>
    <x v="223"/>
    <s v="Customer 82"/>
    <x v="6"/>
    <x v="7"/>
    <x v="0"/>
    <n v="4"/>
    <n v="27448.1"/>
    <n v="0.1"/>
    <x v="352"/>
    <x v="0"/>
    <x v="0"/>
  </r>
  <r>
    <s v="ORD-10356"/>
    <x v="224"/>
    <s v="Customer 18"/>
    <x v="4"/>
    <x v="9"/>
    <x v="3"/>
    <n v="1"/>
    <n v="2806.23"/>
    <n v="0"/>
    <x v="353"/>
    <x v="1"/>
    <x v="2"/>
  </r>
  <r>
    <s v="ORD-10357"/>
    <x v="225"/>
    <s v="Customer 157"/>
    <x v="1"/>
    <x v="3"/>
    <x v="2"/>
    <n v="1"/>
    <n v="1958.56"/>
    <n v="0"/>
    <x v="354"/>
    <x v="0"/>
    <x v="2"/>
  </r>
  <r>
    <s v="ORD-10358"/>
    <x v="73"/>
    <s v="Customer 143"/>
    <x v="0"/>
    <x v="7"/>
    <x v="0"/>
    <n v="2"/>
    <n v="28402.13"/>
    <n v="0.15"/>
    <x v="355"/>
    <x v="3"/>
    <x v="0"/>
  </r>
  <r>
    <s v="ORD-10359"/>
    <x v="44"/>
    <s v="Customer 157"/>
    <x v="2"/>
    <x v="0"/>
    <x v="0"/>
    <n v="4"/>
    <n v="19387.3"/>
    <n v="0.1"/>
    <x v="356"/>
    <x v="2"/>
    <x v="1"/>
  </r>
  <r>
    <s v="ORD-10360"/>
    <x v="36"/>
    <s v="Customer 101"/>
    <x v="2"/>
    <x v="9"/>
    <x v="3"/>
    <n v="1"/>
    <n v="2919.31"/>
    <n v="0"/>
    <x v="357"/>
    <x v="2"/>
    <x v="1"/>
  </r>
  <r>
    <s v="ORD-10361"/>
    <x v="139"/>
    <s v="Customer 140"/>
    <x v="3"/>
    <x v="6"/>
    <x v="0"/>
    <n v="2"/>
    <n v="6908.05"/>
    <n v="0"/>
    <x v="358"/>
    <x v="1"/>
    <x v="0"/>
  </r>
  <r>
    <s v="ORD-10362"/>
    <x v="167"/>
    <s v="Customer 206"/>
    <x v="0"/>
    <x v="8"/>
    <x v="1"/>
    <n v="1"/>
    <n v="1194.23"/>
    <n v="0.15"/>
    <x v="359"/>
    <x v="2"/>
    <x v="0"/>
  </r>
  <r>
    <s v="ORD-10363"/>
    <x v="46"/>
    <s v="Customer 137"/>
    <x v="2"/>
    <x v="1"/>
    <x v="1"/>
    <n v="1"/>
    <n v="5112.43"/>
    <n v="0.05"/>
    <x v="360"/>
    <x v="1"/>
    <x v="0"/>
  </r>
  <r>
    <s v="ORD-10364"/>
    <x v="226"/>
    <s v="Customer 137"/>
    <x v="5"/>
    <x v="1"/>
    <x v="1"/>
    <n v="1"/>
    <n v="5312.06"/>
    <n v="0.1"/>
    <x v="361"/>
    <x v="2"/>
    <x v="1"/>
  </r>
  <r>
    <s v="ORD-10365"/>
    <x v="227"/>
    <s v="Customer 100"/>
    <x v="3"/>
    <x v="0"/>
    <x v="0"/>
    <n v="2"/>
    <n v="21895.47"/>
    <n v="0.05"/>
    <x v="362"/>
    <x v="2"/>
    <x v="0"/>
  </r>
  <r>
    <s v="ORD-10366"/>
    <x v="116"/>
    <s v="Customer 53"/>
    <x v="6"/>
    <x v="3"/>
    <x v="2"/>
    <n v="3"/>
    <n v="1815.77"/>
    <n v="0.1"/>
    <x v="363"/>
    <x v="1"/>
    <x v="0"/>
  </r>
  <r>
    <s v="ORD-10367"/>
    <x v="228"/>
    <s v="Customer 153"/>
    <x v="0"/>
    <x v="1"/>
    <x v="1"/>
    <n v="3"/>
    <n v="5666.8"/>
    <n v="0.1"/>
    <x v="364"/>
    <x v="0"/>
    <x v="0"/>
  </r>
  <r>
    <s v="ORD-10368"/>
    <x v="128"/>
    <s v="Customer 90"/>
    <x v="4"/>
    <x v="1"/>
    <x v="1"/>
    <n v="1"/>
    <n v="5592.75"/>
    <n v="0.1"/>
    <x v="365"/>
    <x v="3"/>
    <x v="0"/>
  </r>
  <r>
    <s v="ORD-10369"/>
    <x v="177"/>
    <s v="Customer 181"/>
    <x v="6"/>
    <x v="4"/>
    <x v="3"/>
    <n v="3"/>
    <n v="1752.32"/>
    <n v="0.05"/>
    <x v="366"/>
    <x v="0"/>
    <x v="0"/>
  </r>
  <r>
    <s v="ORD-10370"/>
    <x v="94"/>
    <s v="Customer 33"/>
    <x v="5"/>
    <x v="0"/>
    <x v="0"/>
    <n v="1"/>
    <n v="20294.82"/>
    <n v="0.05"/>
    <x v="367"/>
    <x v="1"/>
    <x v="0"/>
  </r>
  <r>
    <s v="ORD-10371"/>
    <x v="29"/>
    <s v="Customer 111"/>
    <x v="0"/>
    <x v="3"/>
    <x v="2"/>
    <n v="2"/>
    <n v="1858.68"/>
    <n v="0.05"/>
    <x v="368"/>
    <x v="3"/>
    <x v="0"/>
  </r>
  <r>
    <s v="ORD-10372"/>
    <x v="229"/>
    <s v="Customer 132"/>
    <x v="0"/>
    <x v="4"/>
    <x v="3"/>
    <n v="2"/>
    <n v="1506.27"/>
    <n v="0"/>
    <x v="369"/>
    <x v="3"/>
    <x v="0"/>
  </r>
  <r>
    <s v="ORD-10373"/>
    <x v="44"/>
    <s v="Customer 4"/>
    <x v="6"/>
    <x v="2"/>
    <x v="0"/>
    <n v="1"/>
    <n v="3183.24"/>
    <n v="0.1"/>
    <x v="370"/>
    <x v="2"/>
    <x v="2"/>
  </r>
  <r>
    <s v="ORD-10374"/>
    <x v="175"/>
    <s v="Customer 22"/>
    <x v="2"/>
    <x v="4"/>
    <x v="3"/>
    <n v="5"/>
    <n v="1748.09"/>
    <n v="0.05"/>
    <x v="371"/>
    <x v="3"/>
    <x v="0"/>
  </r>
  <r>
    <s v="ORD-10375"/>
    <x v="77"/>
    <s v="Customer 83"/>
    <x v="0"/>
    <x v="2"/>
    <x v="0"/>
    <n v="1"/>
    <n v="3380.05"/>
    <n v="0.1"/>
    <x v="372"/>
    <x v="3"/>
    <x v="2"/>
  </r>
  <r>
    <s v="ORD-10376"/>
    <x v="230"/>
    <s v="Customer 175"/>
    <x v="1"/>
    <x v="3"/>
    <x v="2"/>
    <n v="1"/>
    <n v="1713.57"/>
    <n v="0.1"/>
    <x v="373"/>
    <x v="1"/>
    <x v="0"/>
  </r>
  <r>
    <s v="ORD-10377"/>
    <x v="122"/>
    <s v="Customer 114"/>
    <x v="3"/>
    <x v="5"/>
    <x v="1"/>
    <n v="3"/>
    <n v="5930.86"/>
    <n v="0.1"/>
    <x v="374"/>
    <x v="2"/>
    <x v="1"/>
  </r>
  <r>
    <s v="ORD-10378"/>
    <x v="81"/>
    <s v="Customer 61"/>
    <x v="6"/>
    <x v="10"/>
    <x v="1"/>
    <n v="1"/>
    <n v="6538.56"/>
    <n v="0.2"/>
    <x v="375"/>
    <x v="3"/>
    <x v="2"/>
  </r>
  <r>
    <s v="ORD-10379"/>
    <x v="231"/>
    <s v="Customer 141"/>
    <x v="5"/>
    <x v="3"/>
    <x v="2"/>
    <n v="4"/>
    <n v="1816.87"/>
    <n v="0.1"/>
    <x v="376"/>
    <x v="1"/>
    <x v="1"/>
  </r>
  <r>
    <s v="ORD-10380"/>
    <x v="232"/>
    <s v="Customer 75"/>
    <x v="3"/>
    <x v="1"/>
    <x v="1"/>
    <n v="1"/>
    <n v="5381.32"/>
    <n v="0.15"/>
    <x v="377"/>
    <x v="1"/>
    <x v="2"/>
  </r>
  <r>
    <s v="ORD-10381"/>
    <x v="214"/>
    <s v="Customer 184"/>
    <x v="0"/>
    <x v="2"/>
    <x v="0"/>
    <n v="4"/>
    <n v="3488.92"/>
    <n v="0"/>
    <x v="378"/>
    <x v="1"/>
    <x v="0"/>
  </r>
  <r>
    <s v="ORD-10382"/>
    <x v="220"/>
    <s v="Customer 118"/>
    <x v="6"/>
    <x v="2"/>
    <x v="0"/>
    <n v="1"/>
    <n v="2992.7"/>
    <n v="0.15"/>
    <x v="379"/>
    <x v="1"/>
    <x v="0"/>
  </r>
  <r>
    <s v="ORD-10383"/>
    <x v="233"/>
    <s v="Customer 80"/>
    <x v="6"/>
    <x v="4"/>
    <x v="3"/>
    <n v="2"/>
    <n v="1663.46"/>
    <n v="0.05"/>
    <x v="380"/>
    <x v="1"/>
    <x v="1"/>
  </r>
  <r>
    <s v="ORD-10384"/>
    <x v="211"/>
    <s v="Customer 171"/>
    <x v="5"/>
    <x v="2"/>
    <x v="0"/>
    <n v="1"/>
    <n v="3038.3"/>
    <n v="0.1"/>
    <x v="381"/>
    <x v="3"/>
    <x v="0"/>
  </r>
  <r>
    <s v="ORD-10385"/>
    <x v="222"/>
    <s v="Customer 36"/>
    <x v="3"/>
    <x v="8"/>
    <x v="1"/>
    <n v="3"/>
    <n v="1082.9000000000001"/>
    <n v="0.05"/>
    <x v="382"/>
    <x v="2"/>
    <x v="2"/>
  </r>
  <r>
    <s v="ORD-10386"/>
    <x v="234"/>
    <s v="Customer 55"/>
    <x v="0"/>
    <x v="2"/>
    <x v="0"/>
    <n v="2"/>
    <n v="3085.87"/>
    <n v="0"/>
    <x v="383"/>
    <x v="1"/>
    <x v="0"/>
  </r>
  <r>
    <s v="ORD-10387"/>
    <x v="198"/>
    <s v="Customer 182"/>
    <x v="5"/>
    <x v="7"/>
    <x v="0"/>
    <n v="1"/>
    <n v="25863.61"/>
    <n v="0.1"/>
    <x v="384"/>
    <x v="0"/>
    <x v="2"/>
  </r>
  <r>
    <s v="ORD-10388"/>
    <x v="151"/>
    <s v="Customer 94"/>
    <x v="0"/>
    <x v="8"/>
    <x v="1"/>
    <n v="2"/>
    <n v="1232.51"/>
    <n v="0.05"/>
    <x v="385"/>
    <x v="0"/>
    <x v="2"/>
  </r>
  <r>
    <s v="ORD-10389"/>
    <x v="235"/>
    <s v="Customer 91"/>
    <x v="6"/>
    <x v="3"/>
    <x v="2"/>
    <n v="1"/>
    <n v="1710.36"/>
    <n v="0.1"/>
    <x v="386"/>
    <x v="2"/>
    <x v="2"/>
  </r>
  <r>
    <s v="ORD-10390"/>
    <x v="236"/>
    <s v="Customer 203"/>
    <x v="2"/>
    <x v="1"/>
    <x v="1"/>
    <n v="3"/>
    <n v="4708.62"/>
    <n v="0.2"/>
    <x v="387"/>
    <x v="3"/>
    <x v="0"/>
  </r>
  <r>
    <s v="ORD-10391"/>
    <x v="213"/>
    <s v="Customer 197"/>
    <x v="0"/>
    <x v="6"/>
    <x v="0"/>
    <n v="1"/>
    <n v="7087.34"/>
    <n v="0.1"/>
    <x v="388"/>
    <x v="2"/>
    <x v="1"/>
  </r>
  <r>
    <s v="ORD-10392"/>
    <x v="116"/>
    <s v="Customer 71"/>
    <x v="6"/>
    <x v="8"/>
    <x v="1"/>
    <n v="2"/>
    <n v="1164.73"/>
    <n v="0"/>
    <x v="389"/>
    <x v="2"/>
    <x v="0"/>
  </r>
  <r>
    <s v="ORD-10393"/>
    <x v="237"/>
    <s v="Customer 136"/>
    <x v="2"/>
    <x v="4"/>
    <x v="3"/>
    <n v="3"/>
    <n v="1614.24"/>
    <n v="0.15"/>
    <x v="390"/>
    <x v="2"/>
    <x v="0"/>
  </r>
  <r>
    <s v="ORD-10394"/>
    <x v="7"/>
    <s v="Customer 165"/>
    <x v="2"/>
    <x v="1"/>
    <x v="1"/>
    <n v="1"/>
    <n v="4751.7700000000004"/>
    <n v="0"/>
    <x v="391"/>
    <x v="0"/>
    <x v="0"/>
  </r>
  <r>
    <s v="ORD-10395"/>
    <x v="238"/>
    <s v="Customer 4"/>
    <x v="0"/>
    <x v="4"/>
    <x v="3"/>
    <n v="1"/>
    <n v="1687.65"/>
    <n v="0.1"/>
    <x v="392"/>
    <x v="1"/>
    <x v="2"/>
  </r>
  <r>
    <s v="ORD-10396"/>
    <x v="239"/>
    <s v="Customer 181"/>
    <x v="4"/>
    <x v="8"/>
    <x v="1"/>
    <n v="1"/>
    <n v="1089.02"/>
    <n v="0.05"/>
    <x v="393"/>
    <x v="3"/>
    <x v="0"/>
  </r>
  <r>
    <s v="ORD-10397"/>
    <x v="0"/>
    <s v="Customer 166"/>
    <x v="3"/>
    <x v="5"/>
    <x v="1"/>
    <n v="2"/>
    <n v="7115"/>
    <n v="0"/>
    <x v="394"/>
    <x v="3"/>
    <x v="0"/>
  </r>
  <r>
    <s v="ORD-10398"/>
    <x v="240"/>
    <s v="Customer 169"/>
    <x v="3"/>
    <x v="1"/>
    <x v="1"/>
    <n v="1"/>
    <n v="5002.49"/>
    <n v="0"/>
    <x v="395"/>
    <x v="3"/>
    <x v="0"/>
  </r>
  <r>
    <s v="ORD-10399"/>
    <x v="241"/>
    <s v="Customer 185"/>
    <x v="4"/>
    <x v="0"/>
    <x v="0"/>
    <n v="1"/>
    <n v="22330.47"/>
    <n v="0.1"/>
    <x v="396"/>
    <x v="2"/>
    <x v="2"/>
  </r>
  <r>
    <s v="ORD-10400"/>
    <x v="100"/>
    <s v="Customer 200"/>
    <x v="7"/>
    <x v="4"/>
    <x v="3"/>
    <n v="5"/>
    <n v="1565.82"/>
    <n v="0.1"/>
    <x v="397"/>
    <x v="2"/>
    <x v="0"/>
  </r>
  <r>
    <s v="ORD-10401"/>
    <x v="9"/>
    <s v="Customer 209"/>
    <x v="0"/>
    <x v="8"/>
    <x v="1"/>
    <n v="2"/>
    <n v="1267.3499999999999"/>
    <n v="0"/>
    <x v="398"/>
    <x v="2"/>
    <x v="0"/>
  </r>
  <r>
    <s v="ORD-10402"/>
    <x v="209"/>
    <s v="Customer 102"/>
    <x v="2"/>
    <x v="0"/>
    <x v="0"/>
    <n v="2"/>
    <n v="21900.58"/>
    <n v="0"/>
    <x v="399"/>
    <x v="3"/>
    <x v="1"/>
  </r>
  <r>
    <s v="ORD-10403"/>
    <x v="7"/>
    <s v="Customer 96"/>
    <x v="5"/>
    <x v="2"/>
    <x v="0"/>
    <n v="5"/>
    <n v="2981.78"/>
    <n v="0.05"/>
    <x v="400"/>
    <x v="0"/>
    <x v="2"/>
  </r>
  <r>
    <s v="ORD-10404"/>
    <x v="242"/>
    <s v="Customer 169"/>
    <x v="3"/>
    <x v="7"/>
    <x v="0"/>
    <n v="1"/>
    <n v="27129.78"/>
    <n v="0.15"/>
    <x v="401"/>
    <x v="3"/>
    <x v="0"/>
  </r>
  <r>
    <s v="ORD-10405"/>
    <x v="184"/>
    <s v="Customer 112"/>
    <x v="5"/>
    <x v="0"/>
    <x v="0"/>
    <n v="5"/>
    <n v="21844.91"/>
    <n v="0.15"/>
    <x v="402"/>
    <x v="3"/>
    <x v="2"/>
  </r>
  <r>
    <s v="ORD-10406"/>
    <x v="243"/>
    <s v="Customer 196"/>
    <x v="6"/>
    <x v="8"/>
    <x v="1"/>
    <n v="1"/>
    <n v="1268.69"/>
    <n v="0"/>
    <x v="403"/>
    <x v="3"/>
    <x v="0"/>
  </r>
  <r>
    <s v="ORD-10407"/>
    <x v="244"/>
    <s v="Customer 132"/>
    <x v="0"/>
    <x v="4"/>
    <x v="3"/>
    <n v="1"/>
    <n v="1750.48"/>
    <n v="0.1"/>
    <x v="404"/>
    <x v="3"/>
    <x v="2"/>
  </r>
  <r>
    <s v="ORD-10408"/>
    <x v="177"/>
    <s v="Customer 80"/>
    <x v="4"/>
    <x v="8"/>
    <x v="1"/>
    <n v="4"/>
    <n v="1201.1500000000001"/>
    <n v="0"/>
    <x v="405"/>
    <x v="2"/>
    <x v="0"/>
  </r>
  <r>
    <s v="ORD-10409"/>
    <x v="195"/>
    <s v="Customer 148"/>
    <x v="5"/>
    <x v="4"/>
    <x v="3"/>
    <n v="2"/>
    <n v="1482.15"/>
    <n v="0.05"/>
    <x v="406"/>
    <x v="2"/>
    <x v="1"/>
  </r>
  <r>
    <s v="ORD-10410"/>
    <x v="241"/>
    <s v="Customer 184"/>
    <x v="5"/>
    <x v="0"/>
    <x v="0"/>
    <n v="3"/>
    <n v="19197.740000000002"/>
    <n v="0.05"/>
    <x v="407"/>
    <x v="0"/>
    <x v="2"/>
  </r>
  <r>
    <s v="ORD-10411"/>
    <x v="19"/>
    <s v="Customer 12"/>
    <x v="4"/>
    <x v="6"/>
    <x v="0"/>
    <n v="2"/>
    <n v="6994.22"/>
    <n v="0"/>
    <x v="408"/>
    <x v="3"/>
    <x v="0"/>
  </r>
  <r>
    <s v="ORD-10412"/>
    <x v="153"/>
    <s v="Customer 69"/>
    <x v="4"/>
    <x v="0"/>
    <x v="0"/>
    <n v="2"/>
    <n v="21977.34"/>
    <n v="0"/>
    <x v="409"/>
    <x v="2"/>
    <x v="1"/>
  </r>
  <r>
    <s v="ORD-10413"/>
    <x v="245"/>
    <s v="Customer 167"/>
    <x v="1"/>
    <x v="0"/>
    <x v="0"/>
    <n v="1"/>
    <n v="20296.32"/>
    <n v="0.1"/>
    <x v="410"/>
    <x v="3"/>
    <x v="1"/>
  </r>
  <r>
    <s v="ORD-10414"/>
    <x v="183"/>
    <s v="Customer 148"/>
    <x v="3"/>
    <x v="9"/>
    <x v="3"/>
    <n v="2"/>
    <n v="2754.27"/>
    <n v="0"/>
    <x v="411"/>
    <x v="2"/>
    <x v="0"/>
  </r>
  <r>
    <s v="ORD-10415"/>
    <x v="246"/>
    <s v="Customer 66"/>
    <x v="4"/>
    <x v="5"/>
    <x v="1"/>
    <n v="5"/>
    <n v="6524.31"/>
    <n v="0"/>
    <x v="412"/>
    <x v="1"/>
    <x v="0"/>
  </r>
  <r>
    <s v="ORD-10416"/>
    <x v="247"/>
    <s v="Customer 177"/>
    <x v="1"/>
    <x v="5"/>
    <x v="1"/>
    <n v="2"/>
    <n v="6399.55"/>
    <n v="0.1"/>
    <x v="413"/>
    <x v="0"/>
    <x v="0"/>
  </r>
  <r>
    <s v="ORD-10417"/>
    <x v="222"/>
    <s v="Customer 166"/>
    <x v="4"/>
    <x v="2"/>
    <x v="0"/>
    <n v="1"/>
    <n v="3063.98"/>
    <n v="0"/>
    <x v="414"/>
    <x v="1"/>
    <x v="1"/>
  </r>
  <r>
    <s v="ORD-10418"/>
    <x v="248"/>
    <s v="Customer 108"/>
    <x v="0"/>
    <x v="7"/>
    <x v="0"/>
    <n v="1"/>
    <n v="26864.83"/>
    <n v="0.2"/>
    <x v="415"/>
    <x v="2"/>
    <x v="0"/>
  </r>
  <r>
    <s v="ORD-10419"/>
    <x v="177"/>
    <s v="Customer 10"/>
    <x v="2"/>
    <x v="8"/>
    <x v="1"/>
    <n v="2"/>
    <n v="1169.58"/>
    <n v="0.1"/>
    <x v="416"/>
    <x v="3"/>
    <x v="1"/>
  </r>
  <r>
    <s v="ORD-10420"/>
    <x v="227"/>
    <s v="Customer 83"/>
    <x v="6"/>
    <x v="3"/>
    <x v="2"/>
    <n v="2"/>
    <n v="1620.73"/>
    <n v="0"/>
    <x v="417"/>
    <x v="3"/>
    <x v="0"/>
  </r>
  <r>
    <s v="ORD-10421"/>
    <x v="131"/>
    <s v="Customer 100"/>
    <x v="6"/>
    <x v="6"/>
    <x v="0"/>
    <n v="2"/>
    <n v="7053.95"/>
    <n v="0.15"/>
    <x v="418"/>
    <x v="1"/>
    <x v="1"/>
  </r>
  <r>
    <s v="ORD-10422"/>
    <x v="249"/>
    <s v="Customer 83"/>
    <x v="2"/>
    <x v="5"/>
    <x v="1"/>
    <n v="1"/>
    <n v="6179.03"/>
    <n v="0.05"/>
    <x v="419"/>
    <x v="1"/>
    <x v="0"/>
  </r>
  <r>
    <s v="ORD-10423"/>
    <x v="250"/>
    <s v="Customer 74"/>
    <x v="6"/>
    <x v="4"/>
    <x v="3"/>
    <n v="1"/>
    <n v="1752.64"/>
    <n v="0.1"/>
    <x v="420"/>
    <x v="0"/>
    <x v="0"/>
  </r>
  <r>
    <s v="ORD-10424"/>
    <x v="7"/>
    <s v="Customer 132"/>
    <x v="3"/>
    <x v="7"/>
    <x v="0"/>
    <n v="2"/>
    <n v="27630.52"/>
    <n v="0.15"/>
    <x v="421"/>
    <x v="0"/>
    <x v="1"/>
  </r>
  <r>
    <s v="ORD-10425"/>
    <x v="251"/>
    <s v="Customer 178"/>
    <x v="1"/>
    <x v="7"/>
    <x v="0"/>
    <n v="2"/>
    <n v="28771.05"/>
    <n v="0.1"/>
    <x v="422"/>
    <x v="3"/>
    <x v="0"/>
  </r>
  <r>
    <s v="ORD-10426"/>
    <x v="103"/>
    <s v="Customer 110"/>
    <x v="3"/>
    <x v="2"/>
    <x v="0"/>
    <n v="3"/>
    <n v="2888.8"/>
    <n v="0.1"/>
    <x v="423"/>
    <x v="0"/>
    <x v="0"/>
  </r>
  <r>
    <s v="ORD-10427"/>
    <x v="252"/>
    <s v="Customer 16"/>
    <x v="6"/>
    <x v="7"/>
    <x v="0"/>
    <n v="1"/>
    <n v="28597.7"/>
    <n v="0.1"/>
    <x v="424"/>
    <x v="1"/>
    <x v="2"/>
  </r>
  <r>
    <s v="ORD-10428"/>
    <x v="136"/>
    <s v="Customer 174"/>
    <x v="0"/>
    <x v="4"/>
    <x v="3"/>
    <n v="3"/>
    <n v="1738.47"/>
    <n v="0.15"/>
    <x v="425"/>
    <x v="1"/>
    <x v="0"/>
  </r>
  <r>
    <s v="ORD-10429"/>
    <x v="232"/>
    <s v="Customer 73"/>
    <x v="3"/>
    <x v="2"/>
    <x v="0"/>
    <n v="5"/>
    <n v="3373.28"/>
    <n v="0"/>
    <x v="426"/>
    <x v="1"/>
    <x v="1"/>
  </r>
  <r>
    <s v="ORD-10430"/>
    <x v="73"/>
    <s v="Customer 56"/>
    <x v="0"/>
    <x v="0"/>
    <x v="0"/>
    <n v="3"/>
    <n v="22511.26"/>
    <n v="0.15"/>
    <x v="427"/>
    <x v="3"/>
    <x v="0"/>
  </r>
  <r>
    <s v="ORD-10431"/>
    <x v="146"/>
    <s v="Customer 107"/>
    <x v="3"/>
    <x v="1"/>
    <x v="1"/>
    <n v="2"/>
    <n v="5199.41"/>
    <n v="0.15"/>
    <x v="428"/>
    <x v="0"/>
    <x v="0"/>
  </r>
  <r>
    <s v="ORD-10432"/>
    <x v="6"/>
    <s v="Customer 214"/>
    <x v="5"/>
    <x v="4"/>
    <x v="3"/>
    <n v="1"/>
    <n v="1447.01"/>
    <n v="0.05"/>
    <x v="429"/>
    <x v="3"/>
    <x v="0"/>
  </r>
  <r>
    <s v="ORD-10433"/>
    <x v="59"/>
    <s v="Customer 121"/>
    <x v="2"/>
    <x v="7"/>
    <x v="0"/>
    <n v="1"/>
    <n v="29192.58"/>
    <n v="0"/>
    <x v="430"/>
    <x v="1"/>
    <x v="0"/>
  </r>
  <r>
    <s v="ORD-10434"/>
    <x v="237"/>
    <s v="Customer 47"/>
    <x v="1"/>
    <x v="2"/>
    <x v="0"/>
    <n v="1"/>
    <n v="3305.1"/>
    <n v="0"/>
    <x v="431"/>
    <x v="0"/>
    <x v="0"/>
  </r>
  <r>
    <s v="ORD-10435"/>
    <x v="253"/>
    <s v="Customer 153"/>
    <x v="3"/>
    <x v="0"/>
    <x v="0"/>
    <n v="1"/>
    <n v="21063.02"/>
    <n v="0"/>
    <x v="432"/>
    <x v="3"/>
    <x v="0"/>
  </r>
  <r>
    <s v="ORD-10436"/>
    <x v="23"/>
    <s v="Customer 133"/>
    <x v="1"/>
    <x v="4"/>
    <x v="3"/>
    <n v="3"/>
    <n v="1732.41"/>
    <n v="0"/>
    <x v="433"/>
    <x v="1"/>
    <x v="0"/>
  </r>
  <r>
    <s v="ORD-10437"/>
    <x v="17"/>
    <s v="Customer 6"/>
    <x v="0"/>
    <x v="8"/>
    <x v="1"/>
    <n v="4"/>
    <n v="1104.6199999999999"/>
    <n v="0.15"/>
    <x v="434"/>
    <x v="3"/>
    <x v="0"/>
  </r>
  <r>
    <s v="ORD-10438"/>
    <x v="144"/>
    <s v="Customer 127"/>
    <x v="4"/>
    <x v="2"/>
    <x v="0"/>
    <n v="3"/>
    <n v="3416.26"/>
    <n v="0.1"/>
    <x v="435"/>
    <x v="3"/>
    <x v="0"/>
  </r>
  <r>
    <s v="ORD-10439"/>
    <x v="219"/>
    <s v="Customer 145"/>
    <x v="5"/>
    <x v="9"/>
    <x v="3"/>
    <n v="1"/>
    <n v="2648.57"/>
    <n v="0.1"/>
    <x v="436"/>
    <x v="2"/>
    <x v="2"/>
  </r>
  <r>
    <s v="ORD-10440"/>
    <x v="232"/>
    <s v="Customer 126"/>
    <x v="0"/>
    <x v="8"/>
    <x v="1"/>
    <n v="3"/>
    <n v="1209.93"/>
    <n v="0"/>
    <x v="437"/>
    <x v="2"/>
    <x v="2"/>
  </r>
  <r>
    <s v="ORD-10441"/>
    <x v="218"/>
    <s v="Customer 28"/>
    <x v="0"/>
    <x v="2"/>
    <x v="0"/>
    <n v="1"/>
    <n v="3022.31"/>
    <n v="0"/>
    <x v="438"/>
    <x v="1"/>
    <x v="0"/>
  </r>
  <r>
    <s v="ORD-10442"/>
    <x v="254"/>
    <s v="Customer 72"/>
    <x v="0"/>
    <x v="2"/>
    <x v="0"/>
    <n v="1"/>
    <n v="3359.61"/>
    <n v="0"/>
    <x v="439"/>
    <x v="3"/>
    <x v="0"/>
  </r>
  <r>
    <s v="ORD-10443"/>
    <x v="141"/>
    <s v="Customer 141"/>
    <x v="4"/>
    <x v="9"/>
    <x v="3"/>
    <n v="3"/>
    <n v="2750.64"/>
    <n v="0.1"/>
    <x v="440"/>
    <x v="3"/>
    <x v="1"/>
  </r>
  <r>
    <s v="ORD-10444"/>
    <x v="255"/>
    <s v="Customer 128"/>
    <x v="6"/>
    <x v="8"/>
    <x v="1"/>
    <n v="1"/>
    <n v="1108.1300000000001"/>
    <n v="0.1"/>
    <x v="441"/>
    <x v="3"/>
    <x v="0"/>
  </r>
  <r>
    <s v="ORD-10445"/>
    <x v="256"/>
    <s v="Customer 193"/>
    <x v="2"/>
    <x v="5"/>
    <x v="1"/>
    <n v="3"/>
    <n v="6510.15"/>
    <n v="0"/>
    <x v="442"/>
    <x v="1"/>
    <x v="1"/>
  </r>
  <r>
    <s v="ORD-10446"/>
    <x v="67"/>
    <s v="Customer 124"/>
    <x v="2"/>
    <x v="7"/>
    <x v="0"/>
    <n v="1"/>
    <n v="28719.19"/>
    <n v="0.05"/>
    <x v="74"/>
    <x v="1"/>
    <x v="1"/>
  </r>
  <r>
    <s v="ORD-10447"/>
    <x v="102"/>
    <s v="Customer 179"/>
    <x v="4"/>
    <x v="8"/>
    <x v="1"/>
    <n v="3"/>
    <n v="1282.4000000000001"/>
    <n v="0.15"/>
    <x v="443"/>
    <x v="3"/>
    <x v="0"/>
  </r>
  <r>
    <s v="ORD-10448"/>
    <x v="257"/>
    <s v="Customer 181"/>
    <x v="4"/>
    <x v="8"/>
    <x v="1"/>
    <n v="3"/>
    <n v="1196.24"/>
    <n v="0.05"/>
    <x v="444"/>
    <x v="1"/>
    <x v="1"/>
  </r>
  <r>
    <s v="ORD-10449"/>
    <x v="32"/>
    <s v="Customer 204"/>
    <x v="5"/>
    <x v="7"/>
    <x v="0"/>
    <n v="1"/>
    <n v="25435.119999999999"/>
    <n v="0"/>
    <x v="445"/>
    <x v="3"/>
    <x v="1"/>
  </r>
  <r>
    <s v="ORD-10450"/>
    <x v="161"/>
    <s v="Customer 45"/>
    <x v="4"/>
    <x v="4"/>
    <x v="3"/>
    <n v="2"/>
    <n v="1584.15"/>
    <n v="0.2"/>
    <x v="446"/>
    <x v="0"/>
    <x v="0"/>
  </r>
  <r>
    <s v="ORD-10451"/>
    <x v="241"/>
    <s v="Customer 64"/>
    <x v="0"/>
    <x v="6"/>
    <x v="0"/>
    <n v="1"/>
    <n v="6855.01"/>
    <n v="0.05"/>
    <x v="447"/>
    <x v="0"/>
    <x v="0"/>
  </r>
  <r>
    <s v="ORD-10452"/>
    <x v="176"/>
    <s v="Customer 158"/>
    <x v="0"/>
    <x v="5"/>
    <x v="1"/>
    <n v="2"/>
    <n v="6771.4"/>
    <n v="0.1"/>
    <x v="448"/>
    <x v="1"/>
    <x v="1"/>
  </r>
  <r>
    <s v="ORD-10453"/>
    <x v="72"/>
    <s v="Customer 48"/>
    <x v="2"/>
    <x v="8"/>
    <x v="1"/>
    <n v="1"/>
    <n v="1265.47"/>
    <n v="0.1"/>
    <x v="449"/>
    <x v="2"/>
    <x v="1"/>
  </r>
  <r>
    <s v="ORD-10454"/>
    <x v="191"/>
    <s v="Customer 209"/>
    <x v="7"/>
    <x v="3"/>
    <x v="2"/>
    <n v="3"/>
    <n v="1909.08"/>
    <n v="0.1"/>
    <x v="450"/>
    <x v="3"/>
    <x v="0"/>
  </r>
  <r>
    <s v="ORD-10455"/>
    <x v="55"/>
    <s v="Customer 131"/>
    <x v="3"/>
    <x v="9"/>
    <x v="3"/>
    <n v="1"/>
    <n v="2714.3"/>
    <n v="0.1"/>
    <x v="451"/>
    <x v="2"/>
    <x v="1"/>
  </r>
  <r>
    <s v="ORD-10456"/>
    <x v="221"/>
    <s v="Customer 11"/>
    <x v="4"/>
    <x v="1"/>
    <x v="1"/>
    <n v="2"/>
    <n v="4999.18"/>
    <n v="0.1"/>
    <x v="452"/>
    <x v="2"/>
    <x v="0"/>
  </r>
  <r>
    <s v="ORD-10457"/>
    <x v="258"/>
    <s v="Customer 138"/>
    <x v="1"/>
    <x v="0"/>
    <x v="0"/>
    <n v="1"/>
    <n v="20684.37"/>
    <n v="0"/>
    <x v="453"/>
    <x v="0"/>
    <x v="0"/>
  </r>
  <r>
    <s v="ORD-10458"/>
    <x v="167"/>
    <s v="Customer 62"/>
    <x v="2"/>
    <x v="7"/>
    <x v="0"/>
    <n v="2"/>
    <n v="29802.25"/>
    <n v="0.05"/>
    <x v="454"/>
    <x v="2"/>
    <x v="0"/>
  </r>
  <r>
    <s v="ORD-10459"/>
    <x v="61"/>
    <s v="Customer 156"/>
    <x v="3"/>
    <x v="8"/>
    <x v="1"/>
    <n v="2"/>
    <n v="1134.01"/>
    <n v="0.1"/>
    <x v="455"/>
    <x v="1"/>
    <x v="0"/>
  </r>
  <r>
    <s v="ORD-10460"/>
    <x v="72"/>
    <s v="Customer 132"/>
    <x v="7"/>
    <x v="3"/>
    <x v="2"/>
    <n v="3"/>
    <n v="1899.64"/>
    <n v="0"/>
    <x v="456"/>
    <x v="0"/>
    <x v="0"/>
  </r>
  <r>
    <s v="ORD-10461"/>
    <x v="99"/>
    <s v="Customer 165"/>
    <x v="5"/>
    <x v="7"/>
    <x v="0"/>
    <n v="2"/>
    <n v="27621.14"/>
    <n v="0.05"/>
    <x v="457"/>
    <x v="1"/>
    <x v="0"/>
  </r>
  <r>
    <s v="ORD-10462"/>
    <x v="259"/>
    <s v="Customer 176"/>
    <x v="4"/>
    <x v="1"/>
    <x v="1"/>
    <n v="1"/>
    <n v="4720.54"/>
    <n v="0.05"/>
    <x v="458"/>
    <x v="3"/>
    <x v="2"/>
  </r>
  <r>
    <s v="ORD-10463"/>
    <x v="260"/>
    <s v="Customer 146"/>
    <x v="6"/>
    <x v="1"/>
    <x v="1"/>
    <n v="1"/>
    <n v="5716"/>
    <n v="0.15"/>
    <x v="459"/>
    <x v="2"/>
    <x v="0"/>
  </r>
  <r>
    <s v="ORD-10464"/>
    <x v="233"/>
    <s v="Customer 189"/>
    <x v="5"/>
    <x v="3"/>
    <x v="2"/>
    <n v="1"/>
    <n v="1979.6"/>
    <n v="0"/>
    <x v="460"/>
    <x v="0"/>
    <x v="2"/>
  </r>
  <r>
    <s v="ORD-10465"/>
    <x v="261"/>
    <s v="Customer 13"/>
    <x v="2"/>
    <x v="10"/>
    <x v="1"/>
    <n v="5"/>
    <n v="4721.96"/>
    <n v="0"/>
    <x v="461"/>
    <x v="0"/>
    <x v="0"/>
  </r>
  <r>
    <s v="ORD-10466"/>
    <x v="262"/>
    <s v="Customer 35"/>
    <x v="4"/>
    <x v="0"/>
    <x v="0"/>
    <n v="3"/>
    <n v="20213.669999999998"/>
    <n v="0.05"/>
    <x v="462"/>
    <x v="1"/>
    <x v="0"/>
  </r>
  <r>
    <s v="ORD-10467"/>
    <x v="263"/>
    <s v="Customer 186"/>
    <x v="0"/>
    <x v="1"/>
    <x v="1"/>
    <n v="2"/>
    <n v="4817.95"/>
    <n v="0"/>
    <x v="463"/>
    <x v="0"/>
    <x v="1"/>
  </r>
  <r>
    <s v="ORD-10468"/>
    <x v="264"/>
    <s v="Customer 171"/>
    <x v="6"/>
    <x v="1"/>
    <x v="1"/>
    <n v="2"/>
    <n v="5710.31"/>
    <n v="0.05"/>
    <x v="464"/>
    <x v="1"/>
    <x v="0"/>
  </r>
  <r>
    <s v="ORD-10469"/>
    <x v="52"/>
    <s v="Customer 28"/>
    <x v="3"/>
    <x v="3"/>
    <x v="2"/>
    <n v="2"/>
    <n v="1756.49"/>
    <n v="0.15"/>
    <x v="465"/>
    <x v="0"/>
    <x v="0"/>
  </r>
  <r>
    <s v="ORD-10470"/>
    <x v="208"/>
    <s v="Customer 153"/>
    <x v="4"/>
    <x v="6"/>
    <x v="0"/>
    <n v="5"/>
    <n v="7956.62"/>
    <n v="0.1"/>
    <x v="466"/>
    <x v="0"/>
    <x v="2"/>
  </r>
  <r>
    <s v="ORD-10471"/>
    <x v="50"/>
    <s v="Customer 21"/>
    <x v="1"/>
    <x v="4"/>
    <x v="3"/>
    <n v="1"/>
    <n v="1475.22"/>
    <n v="0.15"/>
    <x v="467"/>
    <x v="3"/>
    <x v="0"/>
  </r>
  <r>
    <s v="ORD-10472"/>
    <x v="211"/>
    <s v="Customer 64"/>
    <x v="5"/>
    <x v="3"/>
    <x v="2"/>
    <n v="5"/>
    <n v="1819.69"/>
    <n v="0"/>
    <x v="468"/>
    <x v="2"/>
    <x v="0"/>
  </r>
  <r>
    <s v="ORD-10473"/>
    <x v="202"/>
    <s v="Customer 178"/>
    <x v="1"/>
    <x v="2"/>
    <x v="0"/>
    <n v="1"/>
    <n v="3169.86"/>
    <n v="0.05"/>
    <x v="469"/>
    <x v="1"/>
    <x v="1"/>
  </r>
  <r>
    <s v="ORD-10474"/>
    <x v="265"/>
    <s v="Customer 166"/>
    <x v="0"/>
    <x v="3"/>
    <x v="2"/>
    <n v="2"/>
    <n v="1909.01"/>
    <n v="0.15"/>
    <x v="470"/>
    <x v="2"/>
    <x v="0"/>
  </r>
  <r>
    <s v="ORD-10475"/>
    <x v="266"/>
    <s v="Customer 182"/>
    <x v="6"/>
    <x v="5"/>
    <x v="1"/>
    <n v="1"/>
    <n v="6210.12"/>
    <n v="0.05"/>
    <x v="471"/>
    <x v="0"/>
    <x v="1"/>
  </r>
  <r>
    <s v="ORD-10476"/>
    <x v="232"/>
    <s v="Customer 128"/>
    <x v="1"/>
    <x v="0"/>
    <x v="0"/>
    <n v="1"/>
    <n v="20678.009999999998"/>
    <n v="0"/>
    <x v="472"/>
    <x v="2"/>
    <x v="0"/>
  </r>
  <r>
    <s v="ORD-10477"/>
    <x v="267"/>
    <s v="Customer 181"/>
    <x v="5"/>
    <x v="9"/>
    <x v="3"/>
    <n v="2"/>
    <n v="3066.66"/>
    <n v="0.05"/>
    <x v="473"/>
    <x v="2"/>
    <x v="2"/>
  </r>
  <r>
    <s v="ORD-10478"/>
    <x v="137"/>
    <s v="Customer 119"/>
    <x v="2"/>
    <x v="7"/>
    <x v="0"/>
    <n v="1"/>
    <n v="29070.79"/>
    <n v="0"/>
    <x v="474"/>
    <x v="2"/>
    <x v="2"/>
  </r>
  <r>
    <s v="ORD-10479"/>
    <x v="71"/>
    <s v="Customer 177"/>
    <x v="2"/>
    <x v="4"/>
    <x v="3"/>
    <n v="1"/>
    <n v="1579.33"/>
    <n v="0"/>
    <x v="475"/>
    <x v="2"/>
    <x v="2"/>
  </r>
  <r>
    <s v="ORD-10480"/>
    <x v="41"/>
    <s v="Customer 34"/>
    <x v="0"/>
    <x v="0"/>
    <x v="0"/>
    <n v="2"/>
    <n v="20648.12"/>
    <n v="0.1"/>
    <x v="476"/>
    <x v="2"/>
    <x v="0"/>
  </r>
  <r>
    <s v="ORD-10481"/>
    <x v="11"/>
    <s v="Customer 126"/>
    <x v="2"/>
    <x v="6"/>
    <x v="0"/>
    <n v="1"/>
    <n v="7544.82"/>
    <n v="0.05"/>
    <x v="477"/>
    <x v="2"/>
    <x v="0"/>
  </r>
  <r>
    <s v="ORD-10482"/>
    <x v="49"/>
    <s v="Customer 94"/>
    <x v="1"/>
    <x v="7"/>
    <x v="0"/>
    <n v="1"/>
    <n v="28731.25"/>
    <n v="0"/>
    <x v="478"/>
    <x v="1"/>
    <x v="0"/>
  </r>
  <r>
    <s v="ORD-10483"/>
    <x v="43"/>
    <s v="Customer 4"/>
    <x v="5"/>
    <x v="0"/>
    <x v="0"/>
    <n v="2"/>
    <n v="19784.13"/>
    <n v="0"/>
    <x v="479"/>
    <x v="1"/>
    <x v="0"/>
  </r>
  <r>
    <s v="ORD-10484"/>
    <x v="268"/>
    <s v="Customer 220"/>
    <x v="4"/>
    <x v="1"/>
    <x v="1"/>
    <n v="1"/>
    <n v="5183.92"/>
    <n v="0"/>
    <x v="480"/>
    <x v="2"/>
    <x v="0"/>
  </r>
  <r>
    <s v="ORD-10485"/>
    <x v="180"/>
    <s v="Customer 60"/>
    <x v="4"/>
    <x v="5"/>
    <x v="1"/>
    <n v="3"/>
    <n v="6255.2"/>
    <n v="0"/>
    <x v="481"/>
    <x v="0"/>
    <x v="0"/>
  </r>
  <r>
    <s v="ORD-10486"/>
    <x v="178"/>
    <s v="Customer 9"/>
    <x v="4"/>
    <x v="5"/>
    <x v="1"/>
    <n v="1"/>
    <n v="5924.07"/>
    <n v="0.15"/>
    <x v="482"/>
    <x v="3"/>
    <x v="0"/>
  </r>
  <r>
    <s v="ORD-10487"/>
    <x v="193"/>
    <s v="Customer 167"/>
    <x v="3"/>
    <x v="8"/>
    <x v="1"/>
    <n v="5"/>
    <n v="1127.82"/>
    <n v="0.1"/>
    <x v="483"/>
    <x v="3"/>
    <x v="1"/>
  </r>
  <r>
    <s v="ORD-10488"/>
    <x v="218"/>
    <s v="Customer 191"/>
    <x v="1"/>
    <x v="6"/>
    <x v="0"/>
    <n v="1"/>
    <n v="7456.3"/>
    <n v="0.05"/>
    <x v="484"/>
    <x v="2"/>
    <x v="1"/>
  </r>
  <r>
    <s v="ORD-10489"/>
    <x v="255"/>
    <s v="Customer 196"/>
    <x v="0"/>
    <x v="3"/>
    <x v="2"/>
    <n v="1"/>
    <n v="1664.36"/>
    <n v="0.1"/>
    <x v="485"/>
    <x v="3"/>
    <x v="0"/>
  </r>
  <r>
    <s v="ORD-10490"/>
    <x v="136"/>
    <s v="Customer 188"/>
    <x v="6"/>
    <x v="1"/>
    <x v="1"/>
    <n v="3"/>
    <n v="5210.55"/>
    <n v="0.1"/>
    <x v="486"/>
    <x v="1"/>
    <x v="1"/>
  </r>
  <r>
    <s v="ORD-10491"/>
    <x v="269"/>
    <s v="Customer 166"/>
    <x v="1"/>
    <x v="2"/>
    <x v="0"/>
    <n v="2"/>
    <n v="3303.47"/>
    <n v="0.05"/>
    <x v="487"/>
    <x v="3"/>
    <x v="0"/>
  </r>
  <r>
    <s v="ORD-10492"/>
    <x v="97"/>
    <s v="Customer 72"/>
    <x v="4"/>
    <x v="2"/>
    <x v="0"/>
    <n v="1"/>
    <n v="3062.85"/>
    <n v="0.15"/>
    <x v="488"/>
    <x v="3"/>
    <x v="1"/>
  </r>
  <r>
    <s v="ORD-10493"/>
    <x v="236"/>
    <s v="Customer 31"/>
    <x v="3"/>
    <x v="2"/>
    <x v="0"/>
    <n v="4"/>
    <n v="3095.99"/>
    <n v="0.15"/>
    <x v="489"/>
    <x v="0"/>
    <x v="0"/>
  </r>
  <r>
    <s v="ORD-10494"/>
    <x v="89"/>
    <s v="Customer 127"/>
    <x v="4"/>
    <x v="6"/>
    <x v="0"/>
    <n v="1"/>
    <n v="7530.11"/>
    <n v="0"/>
    <x v="490"/>
    <x v="2"/>
    <x v="0"/>
  </r>
  <r>
    <s v="ORD-10495"/>
    <x v="35"/>
    <s v="Customer 152"/>
    <x v="6"/>
    <x v="1"/>
    <x v="1"/>
    <n v="3"/>
    <n v="5460.28"/>
    <n v="0.1"/>
    <x v="491"/>
    <x v="2"/>
    <x v="2"/>
  </r>
  <r>
    <s v="ORD-10496"/>
    <x v="22"/>
    <s v="Customer 13"/>
    <x v="5"/>
    <x v="7"/>
    <x v="0"/>
    <n v="1"/>
    <n v="26533.62"/>
    <n v="0"/>
    <x v="492"/>
    <x v="3"/>
    <x v="0"/>
  </r>
  <r>
    <s v="ORD-10497"/>
    <x v="216"/>
    <s v="Customer 103"/>
    <x v="3"/>
    <x v="4"/>
    <x v="3"/>
    <n v="1"/>
    <n v="1577.6"/>
    <n v="0.05"/>
    <x v="493"/>
    <x v="2"/>
    <x v="0"/>
  </r>
  <r>
    <s v="ORD-10498"/>
    <x v="180"/>
    <s v="Customer 55"/>
    <x v="2"/>
    <x v="9"/>
    <x v="3"/>
    <n v="1"/>
    <n v="2947.22"/>
    <n v="0.1"/>
    <x v="494"/>
    <x v="2"/>
    <x v="0"/>
  </r>
  <r>
    <s v="ORD-10499"/>
    <x v="270"/>
    <s v="Customer 158"/>
    <x v="2"/>
    <x v="9"/>
    <x v="3"/>
    <n v="1"/>
    <n v="2589.1"/>
    <n v="0.1"/>
    <x v="495"/>
    <x v="3"/>
    <x v="0"/>
  </r>
  <r>
    <s v="ORD-10500"/>
    <x v="198"/>
    <s v="Customer 32"/>
    <x v="5"/>
    <x v="4"/>
    <x v="3"/>
    <n v="1"/>
    <n v="1583.69"/>
    <n v="0"/>
    <x v="496"/>
    <x v="2"/>
    <x v="1"/>
  </r>
  <r>
    <s v="ORD-10501"/>
    <x v="211"/>
    <s v="Customer 107"/>
    <x v="6"/>
    <x v="7"/>
    <x v="0"/>
    <n v="2"/>
    <n v="26171.58"/>
    <n v="0"/>
    <x v="497"/>
    <x v="1"/>
    <x v="0"/>
  </r>
  <r>
    <s v="ORD-10502"/>
    <x v="92"/>
    <s v="Customer 85"/>
    <x v="5"/>
    <x v="8"/>
    <x v="1"/>
    <n v="2"/>
    <n v="1213.55"/>
    <n v="0"/>
    <x v="498"/>
    <x v="2"/>
    <x v="0"/>
  </r>
  <r>
    <s v="ORD-10503"/>
    <x v="18"/>
    <s v="Customer 177"/>
    <x v="0"/>
    <x v="7"/>
    <x v="0"/>
    <n v="1"/>
    <n v="28138.52"/>
    <n v="0.15"/>
    <x v="499"/>
    <x v="0"/>
    <x v="0"/>
  </r>
  <r>
    <s v="ORD-10504"/>
    <x v="271"/>
    <s v="Customer 17"/>
    <x v="4"/>
    <x v="7"/>
    <x v="0"/>
    <n v="4"/>
    <n v="30425.95"/>
    <n v="0.1"/>
    <x v="500"/>
    <x v="0"/>
    <x v="0"/>
  </r>
  <r>
    <s v="ORD-10505"/>
    <x v="79"/>
    <s v="Customer 218"/>
    <x v="2"/>
    <x v="0"/>
    <x v="0"/>
    <n v="2"/>
    <n v="21026.59"/>
    <n v="0.05"/>
    <x v="501"/>
    <x v="0"/>
    <x v="0"/>
  </r>
  <r>
    <s v="ORD-10506"/>
    <x v="128"/>
    <s v="Customer 83"/>
    <x v="6"/>
    <x v="5"/>
    <x v="1"/>
    <n v="2"/>
    <n v="6300.95"/>
    <n v="0.05"/>
    <x v="502"/>
    <x v="2"/>
    <x v="0"/>
  </r>
  <r>
    <s v="ORD-10507"/>
    <x v="93"/>
    <s v="Customer 97"/>
    <x v="5"/>
    <x v="7"/>
    <x v="0"/>
    <n v="1"/>
    <n v="27122.97"/>
    <n v="0"/>
    <x v="503"/>
    <x v="2"/>
    <x v="0"/>
  </r>
  <r>
    <s v="ORD-10508"/>
    <x v="178"/>
    <s v="Customer 76"/>
    <x v="5"/>
    <x v="0"/>
    <x v="0"/>
    <n v="4"/>
    <n v="19287.91"/>
    <n v="0"/>
    <x v="504"/>
    <x v="2"/>
    <x v="0"/>
  </r>
  <r>
    <s v="ORD-10509"/>
    <x v="155"/>
    <s v="Customer 73"/>
    <x v="6"/>
    <x v="5"/>
    <x v="1"/>
    <n v="4"/>
    <n v="5856.53"/>
    <n v="0"/>
    <x v="505"/>
    <x v="2"/>
    <x v="1"/>
  </r>
  <r>
    <s v="ORD-10510"/>
    <x v="19"/>
    <s v="Customer 15"/>
    <x v="0"/>
    <x v="3"/>
    <x v="2"/>
    <n v="3"/>
    <n v="1892.54"/>
    <n v="0.1"/>
    <x v="506"/>
    <x v="2"/>
    <x v="2"/>
  </r>
  <r>
    <s v="ORD-10511"/>
    <x v="88"/>
    <s v="Customer 215"/>
    <x v="1"/>
    <x v="2"/>
    <x v="0"/>
    <n v="2"/>
    <n v="3108.33"/>
    <n v="0.15"/>
    <x v="507"/>
    <x v="0"/>
    <x v="0"/>
  </r>
  <r>
    <s v="ORD-10512"/>
    <x v="100"/>
    <s v="Customer 217"/>
    <x v="1"/>
    <x v="7"/>
    <x v="0"/>
    <n v="1"/>
    <n v="30465.24"/>
    <n v="0.1"/>
    <x v="508"/>
    <x v="3"/>
    <x v="2"/>
  </r>
  <r>
    <s v="ORD-10513"/>
    <x v="272"/>
    <s v="Customer 110"/>
    <x v="1"/>
    <x v="2"/>
    <x v="0"/>
    <n v="1"/>
    <n v="3316.58"/>
    <n v="0"/>
    <x v="509"/>
    <x v="0"/>
    <x v="0"/>
  </r>
  <r>
    <s v="ORD-10514"/>
    <x v="180"/>
    <s v="Customer 108"/>
    <x v="5"/>
    <x v="2"/>
    <x v="0"/>
    <n v="1"/>
    <n v="3457.54"/>
    <n v="0.05"/>
    <x v="510"/>
    <x v="0"/>
    <x v="1"/>
  </r>
  <r>
    <s v="ORD-10515"/>
    <x v="273"/>
    <s v="Customer 138"/>
    <x v="2"/>
    <x v="6"/>
    <x v="0"/>
    <n v="3"/>
    <n v="7735.55"/>
    <n v="0.05"/>
    <x v="511"/>
    <x v="2"/>
    <x v="0"/>
  </r>
  <r>
    <s v="ORD-10516"/>
    <x v="68"/>
    <s v="Customer 37"/>
    <x v="0"/>
    <x v="4"/>
    <x v="3"/>
    <n v="3"/>
    <n v="1624.59"/>
    <n v="0"/>
    <x v="512"/>
    <x v="3"/>
    <x v="1"/>
  </r>
  <r>
    <s v="ORD-10517"/>
    <x v="274"/>
    <s v="Customer 30"/>
    <x v="0"/>
    <x v="2"/>
    <x v="0"/>
    <n v="3"/>
    <n v="3327.81"/>
    <n v="0.1"/>
    <x v="513"/>
    <x v="2"/>
    <x v="0"/>
  </r>
  <r>
    <s v="ORD-10518"/>
    <x v="140"/>
    <s v="Customer 122"/>
    <x v="4"/>
    <x v="1"/>
    <x v="1"/>
    <n v="3"/>
    <n v="5263.71"/>
    <n v="0.1"/>
    <x v="514"/>
    <x v="3"/>
    <x v="0"/>
  </r>
  <r>
    <s v="ORD-10519"/>
    <x v="156"/>
    <s v="Customer 76"/>
    <x v="2"/>
    <x v="4"/>
    <x v="3"/>
    <n v="1"/>
    <n v="1477.02"/>
    <n v="0"/>
    <x v="515"/>
    <x v="0"/>
    <x v="0"/>
  </r>
  <r>
    <s v="ORD-10520"/>
    <x v="275"/>
    <s v="Customer 209"/>
    <x v="4"/>
    <x v="6"/>
    <x v="0"/>
    <n v="2"/>
    <n v="7783.14"/>
    <n v="0"/>
    <x v="516"/>
    <x v="1"/>
    <x v="2"/>
  </r>
  <r>
    <s v="ORD-10521"/>
    <x v="56"/>
    <s v="Customer 145"/>
    <x v="4"/>
    <x v="4"/>
    <x v="3"/>
    <n v="1"/>
    <n v="1618.34"/>
    <n v="0"/>
    <x v="517"/>
    <x v="3"/>
    <x v="0"/>
  </r>
  <r>
    <s v="ORD-10522"/>
    <x v="37"/>
    <s v="Customer 54"/>
    <x v="3"/>
    <x v="1"/>
    <x v="1"/>
    <n v="2"/>
    <n v="4825.18"/>
    <n v="0"/>
    <x v="518"/>
    <x v="0"/>
    <x v="1"/>
  </r>
  <r>
    <s v="ORD-10523"/>
    <x v="41"/>
    <s v="Customer 49"/>
    <x v="5"/>
    <x v="0"/>
    <x v="0"/>
    <n v="1"/>
    <n v="21752.639999999999"/>
    <n v="0"/>
    <x v="519"/>
    <x v="3"/>
    <x v="1"/>
  </r>
  <r>
    <s v="ORD-10524"/>
    <x v="59"/>
    <s v="Customer 146"/>
    <x v="7"/>
    <x v="6"/>
    <x v="0"/>
    <n v="1"/>
    <n v="7731.24"/>
    <n v="0"/>
    <x v="520"/>
    <x v="3"/>
    <x v="2"/>
  </r>
  <r>
    <s v="ORD-10525"/>
    <x v="103"/>
    <s v="Customer 163"/>
    <x v="2"/>
    <x v="4"/>
    <x v="3"/>
    <n v="1"/>
    <n v="1603.94"/>
    <n v="0"/>
    <x v="521"/>
    <x v="0"/>
    <x v="0"/>
  </r>
  <r>
    <s v="ORD-10526"/>
    <x v="31"/>
    <s v="Customer 125"/>
    <x v="2"/>
    <x v="8"/>
    <x v="1"/>
    <n v="1"/>
    <n v="1275.52"/>
    <n v="0.15"/>
    <x v="522"/>
    <x v="0"/>
    <x v="0"/>
  </r>
  <r>
    <s v="ORD-10527"/>
    <x v="240"/>
    <s v="Customer 68"/>
    <x v="0"/>
    <x v="7"/>
    <x v="0"/>
    <n v="1"/>
    <n v="28984.61"/>
    <n v="0.05"/>
    <x v="523"/>
    <x v="2"/>
    <x v="2"/>
  </r>
  <r>
    <s v="ORD-10528"/>
    <x v="111"/>
    <s v="Customer 3"/>
    <x v="4"/>
    <x v="7"/>
    <x v="0"/>
    <n v="1"/>
    <n v="30124.25"/>
    <n v="0"/>
    <x v="524"/>
    <x v="2"/>
    <x v="0"/>
  </r>
  <r>
    <s v="ORD-10529"/>
    <x v="102"/>
    <s v="Customer 115"/>
    <x v="5"/>
    <x v="9"/>
    <x v="3"/>
    <n v="4"/>
    <n v="3016.26"/>
    <n v="0"/>
    <x v="525"/>
    <x v="1"/>
    <x v="0"/>
  </r>
  <r>
    <s v="ORD-10530"/>
    <x v="171"/>
    <s v="Customer 167"/>
    <x v="1"/>
    <x v="0"/>
    <x v="0"/>
    <n v="1"/>
    <n v="19080.82"/>
    <n v="0"/>
    <x v="526"/>
    <x v="1"/>
    <x v="2"/>
  </r>
  <r>
    <s v="ORD-10531"/>
    <x v="154"/>
    <s v="Customer 4"/>
    <x v="3"/>
    <x v="2"/>
    <x v="0"/>
    <n v="3"/>
    <n v="3420.59"/>
    <n v="0.05"/>
    <x v="527"/>
    <x v="0"/>
    <x v="0"/>
  </r>
  <r>
    <s v="ORD-10532"/>
    <x v="69"/>
    <s v="Customer 212"/>
    <x v="4"/>
    <x v="5"/>
    <x v="1"/>
    <n v="1"/>
    <n v="6206.7"/>
    <n v="0.05"/>
    <x v="528"/>
    <x v="2"/>
    <x v="2"/>
  </r>
  <r>
    <s v="ORD-10533"/>
    <x v="113"/>
    <s v="Customer 41"/>
    <x v="0"/>
    <x v="8"/>
    <x v="1"/>
    <n v="3"/>
    <n v="1247.21"/>
    <n v="0.1"/>
    <x v="529"/>
    <x v="3"/>
    <x v="2"/>
  </r>
  <r>
    <s v="ORD-10534"/>
    <x v="85"/>
    <s v="Customer 11"/>
    <x v="3"/>
    <x v="4"/>
    <x v="3"/>
    <n v="1"/>
    <n v="1562.32"/>
    <n v="0"/>
    <x v="530"/>
    <x v="0"/>
    <x v="1"/>
  </r>
  <r>
    <s v="ORD-10535"/>
    <x v="242"/>
    <s v="Customer 73"/>
    <x v="5"/>
    <x v="6"/>
    <x v="0"/>
    <n v="1"/>
    <n v="7396.48"/>
    <n v="0.05"/>
    <x v="531"/>
    <x v="1"/>
    <x v="1"/>
  </r>
  <r>
    <s v="ORD-10536"/>
    <x v="205"/>
    <s v="Customer 112"/>
    <x v="5"/>
    <x v="2"/>
    <x v="0"/>
    <n v="1"/>
    <n v="3147"/>
    <n v="0.05"/>
    <x v="532"/>
    <x v="3"/>
    <x v="1"/>
  </r>
  <r>
    <s v="ORD-10537"/>
    <x v="101"/>
    <s v="Customer 78"/>
    <x v="0"/>
    <x v="9"/>
    <x v="3"/>
    <n v="2"/>
    <n v="2970.78"/>
    <n v="0"/>
    <x v="533"/>
    <x v="2"/>
    <x v="0"/>
  </r>
  <r>
    <s v="ORD-10538"/>
    <x v="232"/>
    <s v="Customer 192"/>
    <x v="4"/>
    <x v="7"/>
    <x v="0"/>
    <n v="1"/>
    <n v="30510.21"/>
    <n v="0.15"/>
    <x v="534"/>
    <x v="2"/>
    <x v="0"/>
  </r>
  <r>
    <s v="ORD-10539"/>
    <x v="207"/>
    <s v="Customer 18"/>
    <x v="0"/>
    <x v="7"/>
    <x v="0"/>
    <n v="4"/>
    <n v="27552.02"/>
    <n v="0"/>
    <x v="535"/>
    <x v="3"/>
    <x v="1"/>
  </r>
  <r>
    <s v="ORD-10540"/>
    <x v="276"/>
    <s v="Customer 76"/>
    <x v="1"/>
    <x v="6"/>
    <x v="0"/>
    <n v="3"/>
    <n v="7121.81"/>
    <n v="0"/>
    <x v="536"/>
    <x v="3"/>
    <x v="1"/>
  </r>
  <r>
    <s v="ORD-10541"/>
    <x v="121"/>
    <s v="Customer 7"/>
    <x v="5"/>
    <x v="7"/>
    <x v="0"/>
    <n v="1"/>
    <n v="28370"/>
    <n v="0.05"/>
    <x v="537"/>
    <x v="0"/>
    <x v="0"/>
  </r>
  <r>
    <s v="ORD-10542"/>
    <x v="103"/>
    <s v="Customer 209"/>
    <x v="1"/>
    <x v="2"/>
    <x v="0"/>
    <n v="1"/>
    <n v="2984.54"/>
    <n v="0.05"/>
    <x v="538"/>
    <x v="3"/>
    <x v="0"/>
  </r>
  <r>
    <s v="ORD-10543"/>
    <x v="277"/>
    <s v="Customer 158"/>
    <x v="5"/>
    <x v="7"/>
    <x v="0"/>
    <n v="1"/>
    <n v="28708.16"/>
    <n v="0"/>
    <x v="539"/>
    <x v="2"/>
    <x v="0"/>
  </r>
  <r>
    <s v="ORD-10544"/>
    <x v="278"/>
    <s v="Customer 175"/>
    <x v="4"/>
    <x v="3"/>
    <x v="2"/>
    <n v="3"/>
    <n v="1881.91"/>
    <n v="0.1"/>
    <x v="540"/>
    <x v="2"/>
    <x v="0"/>
  </r>
  <r>
    <s v="ORD-10545"/>
    <x v="248"/>
    <s v="Customer 25"/>
    <x v="4"/>
    <x v="3"/>
    <x v="2"/>
    <n v="3"/>
    <n v="1675.4"/>
    <n v="0.1"/>
    <x v="541"/>
    <x v="0"/>
    <x v="0"/>
  </r>
  <r>
    <s v="ORD-10546"/>
    <x v="219"/>
    <s v="Customer 19"/>
    <x v="5"/>
    <x v="5"/>
    <x v="1"/>
    <n v="2"/>
    <n v="5895.07"/>
    <n v="0"/>
    <x v="542"/>
    <x v="1"/>
    <x v="0"/>
  </r>
  <r>
    <s v="ORD-10547"/>
    <x v="279"/>
    <s v="Customer 147"/>
    <x v="4"/>
    <x v="3"/>
    <x v="2"/>
    <n v="1"/>
    <n v="1942.45"/>
    <n v="0.15"/>
    <x v="543"/>
    <x v="1"/>
    <x v="2"/>
  </r>
  <r>
    <s v="ORD-10548"/>
    <x v="12"/>
    <s v="Customer 148"/>
    <x v="5"/>
    <x v="4"/>
    <x v="3"/>
    <n v="1"/>
    <n v="1473.79"/>
    <n v="0.05"/>
    <x v="544"/>
    <x v="1"/>
    <x v="0"/>
  </r>
  <r>
    <s v="ORD-10549"/>
    <x v="17"/>
    <s v="Customer 106"/>
    <x v="5"/>
    <x v="7"/>
    <x v="0"/>
    <n v="1"/>
    <n v="25368.12"/>
    <n v="0.2"/>
    <x v="545"/>
    <x v="0"/>
    <x v="0"/>
  </r>
  <r>
    <s v="ORD-10550"/>
    <x v="149"/>
    <s v="Customer 95"/>
    <x v="3"/>
    <x v="2"/>
    <x v="0"/>
    <n v="1"/>
    <n v="3204.53"/>
    <n v="0.1"/>
    <x v="546"/>
    <x v="2"/>
    <x v="1"/>
  </r>
  <r>
    <s v="ORD-10551"/>
    <x v="280"/>
    <s v="Customer 16"/>
    <x v="4"/>
    <x v="5"/>
    <x v="1"/>
    <n v="1"/>
    <n v="6583.5"/>
    <n v="0"/>
    <x v="547"/>
    <x v="0"/>
    <x v="2"/>
  </r>
  <r>
    <s v="ORD-10552"/>
    <x v="281"/>
    <s v="Customer 140"/>
    <x v="5"/>
    <x v="9"/>
    <x v="3"/>
    <n v="3"/>
    <n v="2956.53"/>
    <n v="0.05"/>
    <x v="548"/>
    <x v="3"/>
    <x v="2"/>
  </r>
  <r>
    <s v="ORD-10553"/>
    <x v="98"/>
    <s v="Customer 24"/>
    <x v="1"/>
    <x v="6"/>
    <x v="0"/>
    <n v="1"/>
    <n v="7898.05"/>
    <n v="0"/>
    <x v="549"/>
    <x v="2"/>
    <x v="0"/>
  </r>
  <r>
    <s v="ORD-10554"/>
    <x v="76"/>
    <s v="Customer 27"/>
    <x v="2"/>
    <x v="0"/>
    <x v="0"/>
    <n v="1"/>
    <n v="19467.34"/>
    <n v="0.2"/>
    <x v="550"/>
    <x v="1"/>
    <x v="1"/>
  </r>
  <r>
    <s v="ORD-10555"/>
    <x v="282"/>
    <s v="Customer 96"/>
    <x v="3"/>
    <x v="9"/>
    <x v="3"/>
    <n v="2"/>
    <n v="2674.52"/>
    <n v="0.05"/>
    <x v="551"/>
    <x v="1"/>
    <x v="1"/>
  </r>
  <r>
    <s v="ORD-10556"/>
    <x v="197"/>
    <s v="Customer 208"/>
    <x v="3"/>
    <x v="2"/>
    <x v="0"/>
    <n v="2"/>
    <n v="3019.98"/>
    <n v="0.1"/>
    <x v="552"/>
    <x v="1"/>
    <x v="0"/>
  </r>
  <r>
    <s v="ORD-10557"/>
    <x v="195"/>
    <s v="Customer 66"/>
    <x v="1"/>
    <x v="9"/>
    <x v="3"/>
    <n v="1"/>
    <n v="2622.73"/>
    <n v="0.2"/>
    <x v="553"/>
    <x v="2"/>
    <x v="0"/>
  </r>
  <r>
    <s v="ORD-10558"/>
    <x v="283"/>
    <s v="Customer 60"/>
    <x v="6"/>
    <x v="7"/>
    <x v="0"/>
    <n v="2"/>
    <n v="29915.29"/>
    <n v="0.1"/>
    <x v="554"/>
    <x v="3"/>
    <x v="1"/>
  </r>
  <r>
    <s v="ORD-10559"/>
    <x v="28"/>
    <s v="Customer 29"/>
    <x v="5"/>
    <x v="9"/>
    <x v="3"/>
    <n v="1"/>
    <n v="2971.09"/>
    <n v="0.1"/>
    <x v="555"/>
    <x v="2"/>
    <x v="1"/>
  </r>
  <r>
    <s v="ORD-10560"/>
    <x v="209"/>
    <s v="Customer 146"/>
    <x v="4"/>
    <x v="2"/>
    <x v="0"/>
    <n v="1"/>
    <n v="3229.89"/>
    <n v="0.05"/>
    <x v="556"/>
    <x v="1"/>
    <x v="2"/>
  </r>
  <r>
    <s v="ORD-10561"/>
    <x v="241"/>
    <s v="Customer 127"/>
    <x v="3"/>
    <x v="5"/>
    <x v="1"/>
    <n v="1"/>
    <n v="6231.36"/>
    <n v="0.1"/>
    <x v="557"/>
    <x v="2"/>
    <x v="1"/>
  </r>
  <r>
    <s v="ORD-10562"/>
    <x v="24"/>
    <s v="Customer 109"/>
    <x v="0"/>
    <x v="0"/>
    <x v="0"/>
    <n v="3"/>
    <n v="21341.02"/>
    <n v="0.1"/>
    <x v="558"/>
    <x v="2"/>
    <x v="0"/>
  </r>
  <r>
    <s v="ORD-10563"/>
    <x v="84"/>
    <s v="Customer 140"/>
    <x v="2"/>
    <x v="10"/>
    <x v="2"/>
    <n v="2"/>
    <n v="1625.85"/>
    <n v="0.05"/>
    <x v="559"/>
    <x v="3"/>
    <x v="2"/>
  </r>
  <r>
    <s v="ORD-10564"/>
    <x v="183"/>
    <s v="Customer 44"/>
    <x v="6"/>
    <x v="7"/>
    <x v="0"/>
    <n v="1"/>
    <n v="30375.82"/>
    <n v="0.1"/>
    <x v="560"/>
    <x v="3"/>
    <x v="0"/>
  </r>
  <r>
    <s v="ORD-10565"/>
    <x v="127"/>
    <s v="Customer 31"/>
    <x v="0"/>
    <x v="5"/>
    <x v="1"/>
    <n v="2"/>
    <n v="6003.68"/>
    <n v="0.1"/>
    <x v="561"/>
    <x v="3"/>
    <x v="1"/>
  </r>
  <r>
    <s v="ORD-10566"/>
    <x v="284"/>
    <s v="Customer 35"/>
    <x v="3"/>
    <x v="2"/>
    <x v="0"/>
    <n v="1"/>
    <n v="3452.42"/>
    <n v="0.1"/>
    <x v="562"/>
    <x v="3"/>
    <x v="1"/>
  </r>
  <r>
    <s v="ORD-10567"/>
    <x v="247"/>
    <s v="Customer 89"/>
    <x v="5"/>
    <x v="4"/>
    <x v="3"/>
    <n v="1"/>
    <n v="1756.43"/>
    <n v="0.1"/>
    <x v="563"/>
    <x v="3"/>
    <x v="0"/>
  </r>
  <r>
    <s v="ORD-10568"/>
    <x v="34"/>
    <s v="Customer 218"/>
    <x v="0"/>
    <x v="7"/>
    <x v="0"/>
    <n v="1"/>
    <n v="27686.98"/>
    <n v="0.2"/>
    <x v="564"/>
    <x v="2"/>
    <x v="1"/>
  </r>
  <r>
    <s v="ORD-10569"/>
    <x v="285"/>
    <s v="Customer 70"/>
    <x v="3"/>
    <x v="4"/>
    <x v="3"/>
    <n v="1"/>
    <n v="1568.87"/>
    <n v="0"/>
    <x v="565"/>
    <x v="2"/>
    <x v="0"/>
  </r>
  <r>
    <s v="ORD-10570"/>
    <x v="237"/>
    <s v="Customer 20"/>
    <x v="2"/>
    <x v="3"/>
    <x v="2"/>
    <n v="1"/>
    <n v="1869.63"/>
    <n v="0.05"/>
    <x v="566"/>
    <x v="0"/>
    <x v="2"/>
  </r>
  <r>
    <s v="ORD-10571"/>
    <x v="128"/>
    <s v="Customer 185"/>
    <x v="4"/>
    <x v="8"/>
    <x v="1"/>
    <n v="2"/>
    <n v="1124.79"/>
    <n v="0.1"/>
    <x v="567"/>
    <x v="2"/>
    <x v="0"/>
  </r>
  <r>
    <s v="ORD-10572"/>
    <x v="276"/>
    <s v="Customer 90"/>
    <x v="0"/>
    <x v="3"/>
    <x v="2"/>
    <n v="3"/>
    <n v="1665.2"/>
    <n v="0"/>
    <x v="568"/>
    <x v="1"/>
    <x v="0"/>
  </r>
  <r>
    <s v="ORD-10573"/>
    <x v="71"/>
    <s v="Customer 207"/>
    <x v="5"/>
    <x v="0"/>
    <x v="0"/>
    <n v="3"/>
    <n v="22396.15"/>
    <n v="0.1"/>
    <x v="569"/>
    <x v="0"/>
    <x v="0"/>
  </r>
  <r>
    <s v="ORD-10574"/>
    <x v="260"/>
    <s v="Customer 113"/>
    <x v="6"/>
    <x v="3"/>
    <x v="2"/>
    <n v="3"/>
    <n v="1799.33"/>
    <n v="0"/>
    <x v="570"/>
    <x v="2"/>
    <x v="2"/>
  </r>
  <r>
    <s v="ORD-10575"/>
    <x v="135"/>
    <s v="Customer 103"/>
    <x v="3"/>
    <x v="4"/>
    <x v="3"/>
    <n v="2"/>
    <n v="1556.74"/>
    <n v="0.1"/>
    <x v="571"/>
    <x v="2"/>
    <x v="0"/>
  </r>
  <r>
    <s v="ORD-10576"/>
    <x v="66"/>
    <s v="Customer 53"/>
    <x v="2"/>
    <x v="9"/>
    <x v="3"/>
    <n v="2"/>
    <n v="3030.35"/>
    <n v="0.05"/>
    <x v="572"/>
    <x v="3"/>
    <x v="1"/>
  </r>
  <r>
    <s v="ORD-10577"/>
    <x v="286"/>
    <s v="Customer 7"/>
    <x v="4"/>
    <x v="9"/>
    <x v="3"/>
    <n v="1"/>
    <n v="2741.72"/>
    <n v="0.1"/>
    <x v="573"/>
    <x v="1"/>
    <x v="0"/>
  </r>
  <r>
    <s v="ORD-10578"/>
    <x v="144"/>
    <s v="Customer 26"/>
    <x v="2"/>
    <x v="6"/>
    <x v="0"/>
    <n v="1"/>
    <n v="7626.81"/>
    <n v="0"/>
    <x v="574"/>
    <x v="1"/>
    <x v="0"/>
  </r>
  <r>
    <s v="ORD-10579"/>
    <x v="26"/>
    <s v="Customer 158"/>
    <x v="1"/>
    <x v="7"/>
    <x v="0"/>
    <n v="1"/>
    <n v="27996.1"/>
    <n v="0"/>
    <x v="575"/>
    <x v="3"/>
    <x v="2"/>
  </r>
  <r>
    <s v="ORD-10580"/>
    <x v="235"/>
    <s v="Customer 64"/>
    <x v="4"/>
    <x v="5"/>
    <x v="1"/>
    <n v="5"/>
    <n v="6648.17"/>
    <n v="0"/>
    <x v="576"/>
    <x v="2"/>
    <x v="0"/>
  </r>
  <r>
    <s v="ORD-10581"/>
    <x v="287"/>
    <s v="Customer 74"/>
    <x v="6"/>
    <x v="5"/>
    <x v="1"/>
    <n v="1"/>
    <n v="6025.96"/>
    <n v="0.1"/>
    <x v="577"/>
    <x v="3"/>
    <x v="1"/>
  </r>
  <r>
    <s v="ORD-10582"/>
    <x v="128"/>
    <s v="Customer 162"/>
    <x v="1"/>
    <x v="3"/>
    <x v="2"/>
    <n v="1"/>
    <n v="1665.66"/>
    <n v="0"/>
    <x v="578"/>
    <x v="3"/>
    <x v="1"/>
  </r>
  <r>
    <s v="ORD-10583"/>
    <x v="244"/>
    <s v="Customer 35"/>
    <x v="3"/>
    <x v="9"/>
    <x v="3"/>
    <n v="1"/>
    <n v="2723.64"/>
    <n v="0"/>
    <x v="579"/>
    <x v="2"/>
    <x v="2"/>
  </r>
  <r>
    <s v="ORD-10584"/>
    <x v="167"/>
    <s v="Customer 156"/>
    <x v="1"/>
    <x v="8"/>
    <x v="1"/>
    <n v="1"/>
    <n v="1297.92"/>
    <n v="0.05"/>
    <x v="580"/>
    <x v="3"/>
    <x v="0"/>
  </r>
  <r>
    <s v="ORD-10585"/>
    <x v="262"/>
    <s v="Customer 174"/>
    <x v="6"/>
    <x v="2"/>
    <x v="0"/>
    <n v="1"/>
    <n v="2931.59"/>
    <n v="0.05"/>
    <x v="581"/>
    <x v="2"/>
    <x v="1"/>
  </r>
  <r>
    <s v="ORD-10586"/>
    <x v="265"/>
    <s v="Customer 36"/>
    <x v="6"/>
    <x v="4"/>
    <x v="3"/>
    <n v="1"/>
    <n v="1641.63"/>
    <n v="0.05"/>
    <x v="582"/>
    <x v="1"/>
    <x v="0"/>
  </r>
  <r>
    <s v="ORD-10587"/>
    <x v="205"/>
    <s v="Customer 134"/>
    <x v="4"/>
    <x v="6"/>
    <x v="0"/>
    <n v="1"/>
    <n v="8206.41"/>
    <n v="0.15"/>
    <x v="583"/>
    <x v="2"/>
    <x v="0"/>
  </r>
  <r>
    <s v="ORD-10588"/>
    <x v="288"/>
    <s v="Customer 170"/>
    <x v="2"/>
    <x v="5"/>
    <x v="1"/>
    <n v="2"/>
    <n v="7066.72"/>
    <n v="0.05"/>
    <x v="584"/>
    <x v="1"/>
    <x v="2"/>
  </r>
  <r>
    <s v="ORD-10589"/>
    <x v="85"/>
    <s v="Customer 29"/>
    <x v="2"/>
    <x v="6"/>
    <x v="0"/>
    <n v="1"/>
    <n v="6879.2"/>
    <n v="0.2"/>
    <x v="585"/>
    <x v="0"/>
    <x v="0"/>
  </r>
  <r>
    <s v="ORD-10590"/>
    <x v="63"/>
    <s v="Customer 135"/>
    <x v="0"/>
    <x v="5"/>
    <x v="1"/>
    <n v="2"/>
    <n v="5920.94"/>
    <n v="0.05"/>
    <x v="586"/>
    <x v="1"/>
    <x v="0"/>
  </r>
  <r>
    <s v="ORD-10591"/>
    <x v="213"/>
    <s v="Customer 123"/>
    <x v="6"/>
    <x v="2"/>
    <x v="0"/>
    <n v="1"/>
    <n v="3405.11"/>
    <n v="0"/>
    <x v="587"/>
    <x v="2"/>
    <x v="0"/>
  </r>
  <r>
    <s v="ORD-10592"/>
    <x v="101"/>
    <s v="Customer 185"/>
    <x v="3"/>
    <x v="4"/>
    <x v="3"/>
    <n v="2"/>
    <n v="1642.07"/>
    <m/>
    <x v="588"/>
    <x v="0"/>
    <x v="0"/>
  </r>
  <r>
    <s v="ORD-10593"/>
    <x v="198"/>
    <s v="Customer 186"/>
    <x v="3"/>
    <x v="1"/>
    <x v="1"/>
    <n v="1"/>
    <n v="4694.8999999999996"/>
    <n v="0.05"/>
    <x v="589"/>
    <x v="1"/>
    <x v="0"/>
  </r>
  <r>
    <s v="ORD-10594"/>
    <x v="255"/>
    <s v="Customer 122"/>
    <x v="5"/>
    <x v="3"/>
    <x v="2"/>
    <n v="2"/>
    <n v="1701.64"/>
    <n v="0.05"/>
    <x v="590"/>
    <x v="0"/>
    <x v="0"/>
  </r>
  <r>
    <s v="ORD-10595"/>
    <x v="32"/>
    <s v="Customer 140"/>
    <x v="5"/>
    <x v="2"/>
    <x v="0"/>
    <n v="1"/>
    <n v="3127.49"/>
    <n v="0"/>
    <x v="591"/>
    <x v="1"/>
    <x v="0"/>
  </r>
  <r>
    <s v="ORD-10596"/>
    <x v="13"/>
    <s v="Customer 85"/>
    <x v="0"/>
    <x v="8"/>
    <x v="1"/>
    <n v="1"/>
    <n v="1114.8800000000001"/>
    <n v="0.15"/>
    <x v="592"/>
    <x v="3"/>
    <x v="1"/>
  </r>
  <r>
    <s v="ORD-10597"/>
    <x v="289"/>
    <s v="Customer 15"/>
    <x v="5"/>
    <x v="8"/>
    <x v="1"/>
    <n v="5"/>
    <n v="1141.94"/>
    <n v="0"/>
    <x v="593"/>
    <x v="1"/>
    <x v="2"/>
  </r>
  <r>
    <s v="ORD-10598"/>
    <x v="26"/>
    <s v="Customer 110"/>
    <x v="2"/>
    <x v="1"/>
    <x v="1"/>
    <n v="2"/>
    <n v="5023.6099999999997"/>
    <n v="0.05"/>
    <x v="594"/>
    <x v="3"/>
    <x v="2"/>
  </r>
  <r>
    <s v="ORD-10599"/>
    <x v="290"/>
    <s v="Customer 171"/>
    <x v="7"/>
    <x v="6"/>
    <x v="0"/>
    <n v="3"/>
    <n v="7770.84"/>
    <n v="0.1"/>
    <x v="595"/>
    <x v="0"/>
    <x v="1"/>
  </r>
  <r>
    <s v="ORD-10600"/>
    <x v="236"/>
    <s v="Customer 188"/>
    <x v="5"/>
    <x v="7"/>
    <x v="0"/>
    <n v="4"/>
    <n v="26801.040000000001"/>
    <n v="0"/>
    <x v="596"/>
    <x v="3"/>
    <x v="0"/>
  </r>
  <r>
    <s v="ORD-10601"/>
    <x v="140"/>
    <s v="Customer 68"/>
    <x v="4"/>
    <x v="0"/>
    <x v="0"/>
    <n v="2"/>
    <n v="21642.49"/>
    <n v="0.05"/>
    <x v="597"/>
    <x v="3"/>
    <x v="0"/>
  </r>
  <r>
    <s v="ORD-10602"/>
    <x v="291"/>
    <s v="Customer 173"/>
    <x v="3"/>
    <x v="6"/>
    <x v="0"/>
    <n v="2"/>
    <n v="7223.05"/>
    <n v="0.1"/>
    <x v="598"/>
    <x v="3"/>
    <x v="0"/>
  </r>
  <r>
    <s v="ORD-10603"/>
    <x v="3"/>
    <s v="Customer 63"/>
    <x v="1"/>
    <x v="2"/>
    <x v="0"/>
    <n v="3"/>
    <n v="3230.03"/>
    <n v="0.1"/>
    <x v="599"/>
    <x v="0"/>
    <x v="0"/>
  </r>
  <r>
    <s v="ORD-10604"/>
    <x v="87"/>
    <s v="Customer 14"/>
    <x v="4"/>
    <x v="3"/>
    <x v="2"/>
    <n v="2"/>
    <n v="1736.97"/>
    <n v="0.15"/>
    <x v="600"/>
    <x v="3"/>
    <x v="0"/>
  </r>
  <r>
    <s v="ORD-10605"/>
    <x v="58"/>
    <s v="Customer 82"/>
    <x v="1"/>
    <x v="5"/>
    <x v="1"/>
    <n v="1"/>
    <n v="6085.16"/>
    <n v="0.2"/>
    <x v="601"/>
    <x v="0"/>
    <x v="0"/>
  </r>
  <r>
    <s v="ORD-10606"/>
    <x v="20"/>
    <s v="Customer 177"/>
    <x v="3"/>
    <x v="9"/>
    <x v="3"/>
    <n v="1"/>
    <n v="2558.0700000000002"/>
    <n v="0.05"/>
    <x v="602"/>
    <x v="1"/>
    <x v="2"/>
  </r>
  <r>
    <s v="ORD-10607"/>
    <x v="183"/>
    <s v="Customer 150"/>
    <x v="1"/>
    <x v="3"/>
    <x v="2"/>
    <n v="1"/>
    <n v="1842.7"/>
    <n v="0.1"/>
    <x v="603"/>
    <x v="2"/>
    <x v="1"/>
  </r>
  <r>
    <s v="ORD-10608"/>
    <x v="67"/>
    <s v="Customer 85"/>
    <x v="2"/>
    <x v="6"/>
    <x v="0"/>
    <n v="1"/>
    <n v="7607.68"/>
    <n v="0.1"/>
    <x v="604"/>
    <x v="3"/>
    <x v="0"/>
  </r>
  <r>
    <s v="ORD-10609"/>
    <x v="129"/>
    <s v="Customer 77"/>
    <x v="0"/>
    <x v="0"/>
    <x v="0"/>
    <n v="2"/>
    <n v="20657.240000000002"/>
    <n v="0.05"/>
    <x v="605"/>
    <x v="1"/>
    <x v="1"/>
  </r>
  <r>
    <s v="ORD-10610"/>
    <x v="107"/>
    <s v="Customer 115"/>
    <x v="5"/>
    <x v="2"/>
    <x v="0"/>
    <n v="1"/>
    <n v="3244.98"/>
    <n v="0.05"/>
    <x v="606"/>
    <x v="2"/>
    <x v="0"/>
  </r>
  <r>
    <s v="ORD-10611"/>
    <x v="212"/>
    <s v="Customer 109"/>
    <x v="2"/>
    <x v="5"/>
    <x v="1"/>
    <n v="1"/>
    <n v="6279.73"/>
    <n v="0.1"/>
    <x v="607"/>
    <x v="0"/>
    <x v="0"/>
  </r>
  <r>
    <s v="ORD-10612"/>
    <x v="197"/>
    <s v="Customer 117"/>
    <x v="1"/>
    <x v="8"/>
    <x v="1"/>
    <n v="1"/>
    <n v="1156.1500000000001"/>
    <n v="0.05"/>
    <x v="608"/>
    <x v="3"/>
    <x v="1"/>
  </r>
  <r>
    <s v="ORD-10613"/>
    <x v="30"/>
    <s v="Customer 134"/>
    <x v="3"/>
    <x v="2"/>
    <x v="0"/>
    <n v="1"/>
    <n v="3461.13"/>
    <n v="0.05"/>
    <x v="609"/>
    <x v="0"/>
    <x v="1"/>
  </r>
  <r>
    <s v="ORD-10614"/>
    <x v="167"/>
    <s v="Customer 192"/>
    <x v="2"/>
    <x v="6"/>
    <x v="0"/>
    <n v="1"/>
    <n v="6887.13"/>
    <n v="0.05"/>
    <x v="610"/>
    <x v="2"/>
    <x v="0"/>
  </r>
  <r>
    <s v="ORD-10615"/>
    <x v="20"/>
    <s v="Customer 89"/>
    <x v="6"/>
    <x v="8"/>
    <x v="1"/>
    <n v="3"/>
    <n v="1085.42"/>
    <n v="0"/>
    <x v="611"/>
    <x v="3"/>
    <x v="2"/>
  </r>
  <r>
    <s v="ORD-10616"/>
    <x v="292"/>
    <s v="Customer 104"/>
    <x v="5"/>
    <x v="5"/>
    <x v="1"/>
    <n v="2"/>
    <n v="6593.76"/>
    <n v="0.15"/>
    <x v="612"/>
    <x v="1"/>
    <x v="0"/>
  </r>
  <r>
    <s v="ORD-10617"/>
    <x v="214"/>
    <s v="Customer 39"/>
    <x v="5"/>
    <x v="8"/>
    <x v="1"/>
    <n v="2"/>
    <n v="1227.7"/>
    <n v="0.05"/>
    <x v="613"/>
    <x v="1"/>
    <x v="1"/>
  </r>
  <r>
    <s v="ORD-10618"/>
    <x v="81"/>
    <s v="Customer 4"/>
    <x v="5"/>
    <x v="9"/>
    <x v="3"/>
    <n v="2"/>
    <n v="2721.81"/>
    <n v="0"/>
    <x v="614"/>
    <x v="2"/>
    <x v="1"/>
  </r>
  <r>
    <s v="ORD-10619"/>
    <x v="170"/>
    <s v="Customer 69"/>
    <x v="5"/>
    <x v="4"/>
    <x v="3"/>
    <n v="4"/>
    <n v="1489.21"/>
    <n v="0"/>
    <x v="615"/>
    <x v="3"/>
    <x v="1"/>
  </r>
  <r>
    <s v="ORD-10620"/>
    <x v="293"/>
    <s v="Customer 189"/>
    <x v="5"/>
    <x v="3"/>
    <x v="2"/>
    <n v="2"/>
    <n v="1978.9"/>
    <n v="0.15"/>
    <x v="616"/>
    <x v="3"/>
    <x v="2"/>
  </r>
  <r>
    <s v="ORD-10621"/>
    <x v="294"/>
    <s v="Customer 42"/>
    <x v="3"/>
    <x v="7"/>
    <x v="0"/>
    <n v="1"/>
    <n v="26634.67"/>
    <n v="0.15"/>
    <x v="617"/>
    <x v="2"/>
    <x v="0"/>
  </r>
  <r>
    <s v="ORD-10622"/>
    <x v="295"/>
    <s v="Customer 56"/>
    <x v="1"/>
    <x v="9"/>
    <x v="3"/>
    <n v="1"/>
    <n v="2945.6"/>
    <n v="0.1"/>
    <x v="618"/>
    <x v="0"/>
    <x v="1"/>
  </r>
  <r>
    <s v="ORD-10623"/>
    <x v="296"/>
    <s v="Customer 89"/>
    <x v="5"/>
    <x v="4"/>
    <x v="3"/>
    <n v="1"/>
    <n v="1559.66"/>
    <n v="0.05"/>
    <x v="619"/>
    <x v="1"/>
    <x v="0"/>
  </r>
  <r>
    <s v="ORD-10624"/>
    <x v="140"/>
    <s v="Customer 106"/>
    <x v="5"/>
    <x v="7"/>
    <x v="0"/>
    <n v="1"/>
    <n v="27597.83"/>
    <n v="0.2"/>
    <x v="620"/>
    <x v="1"/>
    <x v="0"/>
  </r>
  <r>
    <s v="ORD-10625"/>
    <x v="79"/>
    <s v="Customer 59"/>
    <x v="1"/>
    <x v="2"/>
    <x v="0"/>
    <n v="1"/>
    <n v="3287.08"/>
    <n v="0"/>
    <x v="621"/>
    <x v="0"/>
    <x v="0"/>
  </r>
  <r>
    <s v="ORD-10626"/>
    <x v="91"/>
    <s v="Customer 183"/>
    <x v="4"/>
    <x v="6"/>
    <x v="0"/>
    <n v="3"/>
    <n v="7942.59"/>
    <n v="0.15"/>
    <x v="622"/>
    <x v="3"/>
    <x v="1"/>
  </r>
  <r>
    <s v="ORD-10627"/>
    <x v="297"/>
    <s v="Customer 179"/>
    <x v="6"/>
    <x v="3"/>
    <x v="2"/>
    <n v="1"/>
    <n v="1945.17"/>
    <n v="0.1"/>
    <x v="623"/>
    <x v="2"/>
    <x v="1"/>
  </r>
  <r>
    <s v="ORD-10628"/>
    <x v="298"/>
    <s v="Customer 34"/>
    <x v="1"/>
    <x v="8"/>
    <x v="1"/>
    <n v="2"/>
    <n v="1289.1199999999999"/>
    <n v="0.15"/>
    <x v="624"/>
    <x v="3"/>
    <x v="2"/>
  </r>
  <r>
    <s v="ORD-10629"/>
    <x v="299"/>
    <s v="Customer 152"/>
    <x v="0"/>
    <x v="7"/>
    <x v="0"/>
    <n v="3"/>
    <n v="25501.119999999999"/>
    <n v="0"/>
    <x v="625"/>
    <x v="1"/>
    <x v="0"/>
  </r>
  <r>
    <s v="ORD-10630"/>
    <x v="300"/>
    <s v="Customer 176"/>
    <x v="3"/>
    <x v="0"/>
    <x v="0"/>
    <n v="1"/>
    <n v="18921.59"/>
    <n v="0"/>
    <x v="626"/>
    <x v="1"/>
    <x v="1"/>
  </r>
  <r>
    <s v="ORD-10631"/>
    <x v="229"/>
    <s v="Customer 71"/>
    <x v="2"/>
    <x v="9"/>
    <x v="3"/>
    <n v="3"/>
    <n v="2695.23"/>
    <n v="0.15"/>
    <x v="627"/>
    <x v="3"/>
    <x v="1"/>
  </r>
  <r>
    <s v="ORD-10632"/>
    <x v="197"/>
    <s v="Customer 104"/>
    <x v="5"/>
    <x v="9"/>
    <x v="3"/>
    <n v="2"/>
    <n v="3008.9"/>
    <n v="0"/>
    <x v="628"/>
    <x v="0"/>
    <x v="2"/>
  </r>
  <r>
    <s v="ORD-10633"/>
    <x v="276"/>
    <s v="Customer 117"/>
    <x v="2"/>
    <x v="2"/>
    <x v="0"/>
    <n v="1"/>
    <n v="3405.15"/>
    <n v="0"/>
    <x v="629"/>
    <x v="1"/>
    <x v="0"/>
  </r>
  <r>
    <s v="ORD-10634"/>
    <x v="214"/>
    <s v="Customer 3"/>
    <x v="1"/>
    <x v="3"/>
    <x v="2"/>
    <n v="1"/>
    <n v="1905.5"/>
    <n v="0.05"/>
    <x v="630"/>
    <x v="0"/>
    <x v="0"/>
  </r>
  <r>
    <s v="ORD-10635"/>
    <x v="35"/>
    <s v="Customer 124"/>
    <x v="1"/>
    <x v="4"/>
    <x v="3"/>
    <n v="2"/>
    <n v="1556.15"/>
    <n v="0.1"/>
    <x v="631"/>
    <x v="0"/>
    <x v="1"/>
  </r>
  <r>
    <s v="ORD-10636"/>
    <x v="134"/>
    <s v="Customer 36"/>
    <x v="5"/>
    <x v="0"/>
    <x v="0"/>
    <n v="1"/>
    <n v="20369.14"/>
    <n v="0"/>
    <x v="632"/>
    <x v="2"/>
    <x v="1"/>
  </r>
  <r>
    <s v="ORD-10637"/>
    <x v="244"/>
    <s v="Customer 160"/>
    <x v="4"/>
    <x v="3"/>
    <x v="2"/>
    <n v="3"/>
    <n v="1971.93"/>
    <n v="0"/>
    <x v="633"/>
    <x v="2"/>
    <x v="0"/>
  </r>
  <r>
    <s v="ORD-10638"/>
    <x v="192"/>
    <s v="Customer 82"/>
    <x v="4"/>
    <x v="6"/>
    <x v="0"/>
    <n v="1"/>
    <n v="7266.14"/>
    <n v="0.05"/>
    <x v="634"/>
    <x v="0"/>
    <x v="2"/>
  </r>
  <r>
    <s v="ORD-10639"/>
    <x v="183"/>
    <s v="Customer 130"/>
    <x v="2"/>
    <x v="8"/>
    <x v="1"/>
    <n v="2"/>
    <n v="1315.86"/>
    <n v="0"/>
    <x v="635"/>
    <x v="3"/>
    <x v="1"/>
  </r>
  <r>
    <s v="ORD-10640"/>
    <x v="301"/>
    <s v="Customer 16"/>
    <x v="6"/>
    <x v="3"/>
    <x v="2"/>
    <n v="1"/>
    <n v="1902.62"/>
    <n v="0.05"/>
    <x v="636"/>
    <x v="1"/>
    <x v="1"/>
  </r>
  <r>
    <s v="ORD-10641"/>
    <x v="302"/>
    <s v="Customer 134"/>
    <x v="2"/>
    <x v="2"/>
    <x v="0"/>
    <n v="1"/>
    <n v="3475.73"/>
    <n v="0"/>
    <x v="637"/>
    <x v="0"/>
    <x v="2"/>
  </r>
  <r>
    <s v="ORD-10642"/>
    <x v="218"/>
    <s v="Customer 197"/>
    <x v="6"/>
    <x v="2"/>
    <x v="0"/>
    <n v="1"/>
    <n v="3245.29"/>
    <n v="0.05"/>
    <x v="638"/>
    <x v="3"/>
    <x v="0"/>
  </r>
  <r>
    <s v="ORD-10643"/>
    <x v="145"/>
    <s v="Customer 166"/>
    <x v="0"/>
    <x v="8"/>
    <x v="1"/>
    <n v="2"/>
    <n v="1277.33"/>
    <n v="0"/>
    <x v="639"/>
    <x v="1"/>
    <x v="2"/>
  </r>
  <r>
    <s v="ORD-10644"/>
    <x v="159"/>
    <s v="Customer 82"/>
    <x v="0"/>
    <x v="9"/>
    <x v="3"/>
    <n v="1"/>
    <n v="2692.31"/>
    <n v="0.1"/>
    <x v="640"/>
    <x v="0"/>
    <x v="1"/>
  </r>
  <r>
    <s v="ORD-10645"/>
    <x v="303"/>
    <s v="Customer 208"/>
    <x v="6"/>
    <x v="9"/>
    <x v="3"/>
    <n v="1"/>
    <n v="3033.99"/>
    <n v="0.1"/>
    <x v="641"/>
    <x v="0"/>
    <x v="1"/>
  </r>
  <r>
    <s v="ORD-10646"/>
    <x v="19"/>
    <s v="Customer 171"/>
    <x v="5"/>
    <x v="0"/>
    <x v="0"/>
    <n v="2"/>
    <n v="20799.25"/>
    <n v="0"/>
    <x v="642"/>
    <x v="3"/>
    <x v="0"/>
  </r>
  <r>
    <s v="ORD-10647"/>
    <x v="191"/>
    <s v="Customer 196"/>
    <x v="0"/>
    <x v="1"/>
    <x v="1"/>
    <n v="3"/>
    <n v="5489.17"/>
    <n v="0"/>
    <x v="643"/>
    <x v="0"/>
    <x v="0"/>
  </r>
  <r>
    <s v="ORD-10648"/>
    <x v="286"/>
    <s v="Customer 52"/>
    <x v="6"/>
    <x v="6"/>
    <x v="0"/>
    <n v="2"/>
    <n v="7557.59"/>
    <n v="0"/>
    <x v="644"/>
    <x v="0"/>
    <x v="0"/>
  </r>
  <r>
    <s v="ORD-10649"/>
    <x v="178"/>
    <s v="Customer 179"/>
    <x v="4"/>
    <x v="8"/>
    <x v="1"/>
    <n v="3"/>
    <n v="1308.97"/>
    <n v="0"/>
    <x v="645"/>
    <x v="2"/>
    <x v="2"/>
  </r>
  <r>
    <s v="ORD-10650"/>
    <x v="168"/>
    <s v="Customer 214"/>
    <x v="5"/>
    <x v="7"/>
    <x v="0"/>
    <n v="5"/>
    <n v="25967.32"/>
    <n v="0.2"/>
    <x v="646"/>
    <x v="3"/>
    <x v="0"/>
  </r>
  <r>
    <s v="ORD-10651"/>
    <x v="165"/>
    <s v="Customer 98"/>
    <x v="2"/>
    <x v="5"/>
    <x v="1"/>
    <n v="1"/>
    <n v="7026.89"/>
    <n v="0.15"/>
    <x v="647"/>
    <x v="0"/>
    <x v="0"/>
  </r>
  <r>
    <s v="ORD-10652"/>
    <x v="72"/>
    <s v="Customer 110"/>
    <x v="4"/>
    <x v="9"/>
    <x v="3"/>
    <n v="5"/>
    <n v="2897.45"/>
    <n v="0"/>
    <x v="648"/>
    <x v="0"/>
    <x v="1"/>
  </r>
  <r>
    <s v="ORD-10653"/>
    <x v="170"/>
    <s v="Customer 85"/>
    <x v="3"/>
    <x v="7"/>
    <x v="0"/>
    <n v="1"/>
    <n v="26264.720000000001"/>
    <n v="0.15"/>
    <x v="649"/>
    <x v="1"/>
    <x v="0"/>
  </r>
  <r>
    <s v="ORD-10654"/>
    <x v="78"/>
    <s v="Customer 54"/>
    <x v="6"/>
    <x v="6"/>
    <x v="0"/>
    <n v="1"/>
    <n v="7003.22"/>
    <n v="0.15"/>
    <x v="650"/>
    <x v="2"/>
    <x v="0"/>
  </r>
  <r>
    <s v="ORD-10655"/>
    <x v="235"/>
    <s v="Customer 71"/>
    <x v="1"/>
    <x v="4"/>
    <x v="3"/>
    <n v="2"/>
    <n v="1696.95"/>
    <n v="0"/>
    <x v="651"/>
    <x v="0"/>
    <x v="2"/>
  </r>
  <r>
    <s v="ORD-10656"/>
    <x v="25"/>
    <s v="Customer 10"/>
    <x v="6"/>
    <x v="6"/>
    <x v="0"/>
    <n v="2"/>
    <n v="7638.33"/>
    <n v="0.05"/>
    <x v="652"/>
    <x v="3"/>
    <x v="0"/>
  </r>
  <r>
    <s v="ORD-10657"/>
    <x v="240"/>
    <s v="Customer 58"/>
    <x v="4"/>
    <x v="4"/>
    <x v="3"/>
    <n v="2"/>
    <n v="1652.28"/>
    <n v="0.05"/>
    <x v="653"/>
    <x v="0"/>
    <x v="0"/>
  </r>
  <r>
    <s v="ORD-10658"/>
    <x v="304"/>
    <s v="Customer 27"/>
    <x v="7"/>
    <x v="5"/>
    <x v="1"/>
    <n v="1"/>
    <n v="7092.34"/>
    <m/>
    <x v="654"/>
    <x v="3"/>
    <x v="0"/>
  </r>
  <r>
    <s v="ORD-10659"/>
    <x v="105"/>
    <s v="Customer 122"/>
    <x v="2"/>
    <x v="2"/>
    <x v="0"/>
    <n v="1"/>
    <n v="2970.37"/>
    <n v="0.15"/>
    <x v="655"/>
    <x v="2"/>
    <x v="2"/>
  </r>
  <r>
    <s v="ORD-10660"/>
    <x v="152"/>
    <s v="Customer 157"/>
    <x v="6"/>
    <x v="5"/>
    <x v="1"/>
    <n v="3"/>
    <n v="6665.97"/>
    <n v="0"/>
    <x v="656"/>
    <x v="3"/>
    <x v="2"/>
  </r>
  <r>
    <s v="ORD-10661"/>
    <x v="305"/>
    <s v="Customer 1"/>
    <x v="3"/>
    <x v="1"/>
    <x v="1"/>
    <n v="3"/>
    <n v="5520.6"/>
    <n v="0.1"/>
    <x v="657"/>
    <x v="1"/>
    <x v="1"/>
  </r>
  <r>
    <s v="ORD-10662"/>
    <x v="20"/>
    <s v="Customer 188"/>
    <x v="2"/>
    <x v="6"/>
    <x v="0"/>
    <n v="2"/>
    <n v="7783.22"/>
    <n v="0.15"/>
    <x v="658"/>
    <x v="3"/>
    <x v="0"/>
  </r>
  <r>
    <s v="ORD-10663"/>
    <x v="306"/>
    <s v="Customer 32"/>
    <x v="5"/>
    <x v="2"/>
    <x v="0"/>
    <n v="1"/>
    <n v="3264.61"/>
    <n v="0.1"/>
    <x v="659"/>
    <x v="1"/>
    <x v="2"/>
  </r>
  <r>
    <s v="ORD-10664"/>
    <x v="266"/>
    <s v="Customer 114"/>
    <x v="5"/>
    <x v="2"/>
    <x v="0"/>
    <n v="1"/>
    <n v="2995.3"/>
    <n v="0.1"/>
    <x v="660"/>
    <x v="3"/>
    <x v="0"/>
  </r>
  <r>
    <s v="ORD-10665"/>
    <x v="222"/>
    <s v="Customer 25"/>
    <x v="3"/>
    <x v="9"/>
    <x v="3"/>
    <n v="1"/>
    <n v="2697.02"/>
    <n v="0.1"/>
    <x v="661"/>
    <x v="2"/>
    <x v="0"/>
  </r>
  <r>
    <s v="ORD-10666"/>
    <x v="250"/>
    <s v="Customer 216"/>
    <x v="3"/>
    <x v="5"/>
    <x v="1"/>
    <n v="1"/>
    <n v="6237.37"/>
    <n v="0"/>
    <x v="662"/>
    <x v="3"/>
    <x v="0"/>
  </r>
  <r>
    <s v="ORD-10667"/>
    <x v="151"/>
    <s v="Customer 50"/>
    <x v="4"/>
    <x v="8"/>
    <x v="1"/>
    <n v="1"/>
    <n v="1302.25"/>
    <n v="0"/>
    <x v="663"/>
    <x v="2"/>
    <x v="1"/>
  </r>
  <r>
    <s v="ORD-10668"/>
    <x v="118"/>
    <s v="Customer 42"/>
    <x v="1"/>
    <x v="10"/>
    <x v="0"/>
    <n v="1"/>
    <n v="2931.81"/>
    <n v="0"/>
    <x v="664"/>
    <x v="3"/>
    <x v="1"/>
  </r>
  <r>
    <s v="ORD-10669"/>
    <x v="245"/>
    <s v="Customer 107"/>
    <x v="1"/>
    <x v="2"/>
    <x v="0"/>
    <n v="3"/>
    <n v="2882.46"/>
    <n v="0"/>
    <x v="665"/>
    <x v="3"/>
    <x v="0"/>
  </r>
  <r>
    <s v="ORD-10670"/>
    <x v="87"/>
    <s v="Customer 217"/>
    <x v="6"/>
    <x v="8"/>
    <x v="1"/>
    <n v="1"/>
    <n v="1100.9100000000001"/>
    <n v="0.15"/>
    <x v="666"/>
    <x v="1"/>
    <x v="0"/>
  </r>
  <r>
    <s v="ORD-10671"/>
    <x v="58"/>
    <s v="Customer 17"/>
    <x v="1"/>
    <x v="3"/>
    <x v="2"/>
    <n v="3"/>
    <n v="1950.2"/>
    <n v="0"/>
    <x v="667"/>
    <x v="3"/>
    <x v="0"/>
  </r>
  <r>
    <s v="ORD-10672"/>
    <x v="97"/>
    <s v="Customer 52"/>
    <x v="1"/>
    <x v="0"/>
    <x v="0"/>
    <n v="2"/>
    <n v="22398.34"/>
    <n v="0.1"/>
    <x v="668"/>
    <x v="3"/>
    <x v="1"/>
  </r>
  <r>
    <s v="ORD-10673"/>
    <x v="114"/>
    <s v="Customer 49"/>
    <x v="2"/>
    <x v="0"/>
    <x v="0"/>
    <n v="2"/>
    <n v="22028.27"/>
    <n v="0"/>
    <x v="669"/>
    <x v="1"/>
    <x v="0"/>
  </r>
  <r>
    <s v="ORD-10674"/>
    <x v="248"/>
    <s v="Customer 80"/>
    <x v="5"/>
    <x v="5"/>
    <x v="1"/>
    <n v="2"/>
    <n v="6654.97"/>
    <n v="0.05"/>
    <x v="670"/>
    <x v="3"/>
    <x v="0"/>
  </r>
  <r>
    <s v="ORD-10675"/>
    <x v="284"/>
    <s v="Customer 63"/>
    <x v="0"/>
    <x v="7"/>
    <x v="0"/>
    <n v="2"/>
    <n v="25350.46"/>
    <n v="0.05"/>
    <x v="671"/>
    <x v="2"/>
    <x v="0"/>
  </r>
  <r>
    <s v="ORD-10676"/>
    <x v="44"/>
    <s v="Customer 44"/>
    <x v="2"/>
    <x v="5"/>
    <x v="1"/>
    <n v="2"/>
    <n v="6239.57"/>
    <n v="0.1"/>
    <x v="672"/>
    <x v="3"/>
    <x v="1"/>
  </r>
  <r>
    <s v="ORD-10677"/>
    <x v="194"/>
    <s v="Customer 201"/>
    <x v="5"/>
    <x v="9"/>
    <x v="3"/>
    <n v="2"/>
    <n v="2760.11"/>
    <n v="0.05"/>
    <x v="673"/>
    <x v="0"/>
    <x v="0"/>
  </r>
  <r>
    <s v="ORD-10678"/>
    <x v="66"/>
    <s v="Customer 131"/>
    <x v="5"/>
    <x v="5"/>
    <x v="1"/>
    <n v="1"/>
    <n v="6964.05"/>
    <n v="0.1"/>
    <x v="674"/>
    <x v="2"/>
    <x v="1"/>
  </r>
  <r>
    <s v="ORD-10679"/>
    <x v="166"/>
    <s v="Customer 134"/>
    <x v="3"/>
    <x v="1"/>
    <x v="1"/>
    <n v="1"/>
    <n v="5654.19"/>
    <n v="0"/>
    <x v="675"/>
    <x v="2"/>
    <x v="0"/>
  </r>
  <r>
    <s v="ORD-10680"/>
    <x v="307"/>
    <s v="Customer 48"/>
    <x v="0"/>
    <x v="7"/>
    <x v="0"/>
    <n v="3"/>
    <n v="27024.62"/>
    <n v="0.1"/>
    <x v="676"/>
    <x v="1"/>
    <x v="0"/>
  </r>
  <r>
    <s v="ORD-10681"/>
    <x v="37"/>
    <s v="Customer 192"/>
    <x v="0"/>
    <x v="1"/>
    <x v="1"/>
    <n v="1"/>
    <n v="5387.6"/>
    <n v="0.05"/>
    <x v="677"/>
    <x v="1"/>
    <x v="1"/>
  </r>
  <r>
    <s v="ORD-10682"/>
    <x v="224"/>
    <s v="Customer 149"/>
    <x v="3"/>
    <x v="4"/>
    <x v="3"/>
    <n v="1"/>
    <n v="1531.67"/>
    <n v="0"/>
    <x v="678"/>
    <x v="3"/>
    <x v="1"/>
  </r>
  <r>
    <s v="ORD-10683"/>
    <x v="108"/>
    <s v="Customer 10"/>
    <x v="1"/>
    <x v="1"/>
    <x v="1"/>
    <n v="2"/>
    <n v="5671.24"/>
    <n v="0.05"/>
    <x v="679"/>
    <x v="1"/>
    <x v="0"/>
  </r>
  <r>
    <s v="ORD-10684"/>
    <x v="137"/>
    <s v="Customer 115"/>
    <x v="2"/>
    <x v="2"/>
    <x v="0"/>
    <n v="1"/>
    <n v="2957.63"/>
    <n v="0.1"/>
    <x v="680"/>
    <x v="2"/>
    <x v="0"/>
  </r>
  <r>
    <s v="ORD-10685"/>
    <x v="73"/>
    <s v="Customer 197"/>
    <x v="0"/>
    <x v="2"/>
    <x v="0"/>
    <n v="2"/>
    <n v="3454.95"/>
    <n v="0.1"/>
    <x v="681"/>
    <x v="1"/>
    <x v="0"/>
  </r>
  <r>
    <s v="ORD-10686"/>
    <x v="88"/>
    <s v="Customer 73"/>
    <x v="6"/>
    <x v="9"/>
    <x v="3"/>
    <n v="1"/>
    <n v="2792.84"/>
    <n v="0"/>
    <x v="682"/>
    <x v="2"/>
    <x v="0"/>
  </r>
  <r>
    <s v="ORD-10687"/>
    <x v="266"/>
    <s v="Customer 106"/>
    <x v="1"/>
    <x v="2"/>
    <x v="0"/>
    <n v="2"/>
    <n v="3044.79"/>
    <n v="0.1"/>
    <x v="683"/>
    <x v="3"/>
    <x v="1"/>
  </r>
  <r>
    <s v="ORD-10688"/>
    <x v="4"/>
    <s v="Customer 20"/>
    <x v="5"/>
    <x v="5"/>
    <x v="1"/>
    <n v="1"/>
    <n v="6301.1"/>
    <n v="0.05"/>
    <x v="684"/>
    <x v="0"/>
    <x v="0"/>
  </r>
  <r>
    <s v="ORD-10689"/>
    <x v="293"/>
    <s v="Customer 119"/>
    <x v="4"/>
    <x v="9"/>
    <x v="3"/>
    <n v="3"/>
    <n v="2696.96"/>
    <n v="0.15"/>
    <x v="685"/>
    <x v="1"/>
    <x v="0"/>
  </r>
  <r>
    <s v="ORD-10690"/>
    <x v="163"/>
    <s v="Customer 70"/>
    <x v="3"/>
    <x v="3"/>
    <x v="2"/>
    <n v="1"/>
    <n v="1862.19"/>
    <n v="0"/>
    <x v="686"/>
    <x v="3"/>
    <x v="0"/>
  </r>
  <r>
    <s v="ORD-10691"/>
    <x v="23"/>
    <s v="Customer 204"/>
    <x v="6"/>
    <x v="8"/>
    <x v="1"/>
    <n v="1"/>
    <n v="1105.48"/>
    <n v="0"/>
    <x v="687"/>
    <x v="0"/>
    <x v="0"/>
  </r>
  <r>
    <s v="ORD-10692"/>
    <x v="290"/>
    <s v="Customer 57"/>
    <x v="1"/>
    <x v="4"/>
    <x v="3"/>
    <n v="1"/>
    <n v="1589.2"/>
    <n v="0.2"/>
    <x v="688"/>
    <x v="2"/>
    <x v="2"/>
  </r>
  <r>
    <s v="ORD-10693"/>
    <x v="308"/>
    <s v="Customer 175"/>
    <x v="2"/>
    <x v="7"/>
    <x v="0"/>
    <n v="1"/>
    <n v="29926.36"/>
    <n v="0.05"/>
    <x v="689"/>
    <x v="3"/>
    <x v="0"/>
  </r>
  <r>
    <s v="ORD-10694"/>
    <x v="107"/>
    <s v="Customer 72"/>
    <x v="3"/>
    <x v="5"/>
    <x v="1"/>
    <n v="2"/>
    <n v="6282.15"/>
    <n v="0.05"/>
    <x v="690"/>
    <x v="1"/>
    <x v="0"/>
  </r>
  <r>
    <s v="ORD-10695"/>
    <x v="249"/>
    <s v="Customer 161"/>
    <x v="5"/>
    <x v="7"/>
    <x v="0"/>
    <n v="2"/>
    <n v="30632.42"/>
    <n v="0.2"/>
    <x v="691"/>
    <x v="3"/>
    <x v="1"/>
  </r>
  <r>
    <s v="ORD-10696"/>
    <x v="290"/>
    <s v="Customer 54"/>
    <x v="2"/>
    <x v="0"/>
    <x v="0"/>
    <n v="2"/>
    <n v="20924.47"/>
    <n v="0.05"/>
    <x v="692"/>
    <x v="2"/>
    <x v="2"/>
  </r>
  <r>
    <s v="ORD-10697"/>
    <x v="189"/>
    <s v="Customer 13"/>
    <x v="0"/>
    <x v="7"/>
    <x v="0"/>
    <n v="1"/>
    <n v="28618.03"/>
    <n v="0.15"/>
    <x v="693"/>
    <x v="3"/>
    <x v="0"/>
  </r>
  <r>
    <s v="ORD-10698"/>
    <x v="154"/>
    <s v="Customer 156"/>
    <x v="6"/>
    <x v="8"/>
    <x v="1"/>
    <n v="1"/>
    <n v="1297.5"/>
    <n v="0.1"/>
    <x v="694"/>
    <x v="3"/>
    <x v="2"/>
  </r>
  <r>
    <s v="ORD-10699"/>
    <x v="258"/>
    <s v="Customer 16"/>
    <x v="5"/>
    <x v="9"/>
    <x v="3"/>
    <n v="1"/>
    <n v="2996.53"/>
    <n v="0.05"/>
    <x v="695"/>
    <x v="2"/>
    <x v="1"/>
  </r>
  <r>
    <s v="ORD-10700"/>
    <x v="170"/>
    <s v="Customer 77"/>
    <x v="2"/>
    <x v="4"/>
    <x v="3"/>
    <n v="1"/>
    <n v="1501.43"/>
    <n v="0.05"/>
    <x v="696"/>
    <x v="3"/>
    <x v="0"/>
  </r>
  <r>
    <s v="ORD-10701"/>
    <x v="39"/>
    <s v="Customer 143"/>
    <x v="1"/>
    <x v="4"/>
    <x v="3"/>
    <n v="1"/>
    <n v="1568.76"/>
    <n v="0.1"/>
    <x v="697"/>
    <x v="3"/>
    <x v="0"/>
  </r>
  <r>
    <s v="ORD-10702"/>
    <x v="164"/>
    <s v="Customer 219"/>
    <x v="5"/>
    <x v="2"/>
    <x v="0"/>
    <n v="2"/>
    <n v="3517.13"/>
    <n v="0.15"/>
    <x v="698"/>
    <x v="2"/>
    <x v="0"/>
  </r>
  <r>
    <s v="ORD-10703"/>
    <x v="309"/>
    <s v="Customer 53"/>
    <x v="6"/>
    <x v="6"/>
    <x v="0"/>
    <n v="1"/>
    <n v="8007.91"/>
    <n v="0.2"/>
    <x v="699"/>
    <x v="3"/>
    <x v="0"/>
  </r>
  <r>
    <s v="ORD-10704"/>
    <x v="215"/>
    <s v="Customer 182"/>
    <x v="1"/>
    <x v="5"/>
    <x v="1"/>
    <n v="1"/>
    <n v="6506.97"/>
    <n v="0"/>
    <x v="700"/>
    <x v="1"/>
    <x v="1"/>
  </r>
  <r>
    <s v="ORD-10705"/>
    <x v="57"/>
    <s v="Customer 112"/>
    <x v="6"/>
    <x v="7"/>
    <x v="0"/>
    <n v="5"/>
    <n v="27693.53"/>
    <n v="0"/>
    <x v="701"/>
    <x v="1"/>
    <x v="0"/>
  </r>
  <r>
    <s v="ORD-10706"/>
    <x v="277"/>
    <s v="Customer 51"/>
    <x v="6"/>
    <x v="5"/>
    <x v="1"/>
    <n v="2"/>
    <n v="6665.71"/>
    <n v="0"/>
    <x v="702"/>
    <x v="0"/>
    <x v="1"/>
  </r>
  <r>
    <s v="ORD-10707"/>
    <x v="86"/>
    <s v="Customer 95"/>
    <x v="6"/>
    <x v="9"/>
    <x v="3"/>
    <n v="1"/>
    <n v="2678.35"/>
    <n v="0.05"/>
    <x v="703"/>
    <x v="2"/>
    <x v="1"/>
  </r>
  <r>
    <s v="ORD-10708"/>
    <x v="78"/>
    <s v="Customer 53"/>
    <x v="6"/>
    <x v="6"/>
    <x v="0"/>
    <n v="1"/>
    <n v="7401.8"/>
    <n v="0.1"/>
    <x v="704"/>
    <x v="0"/>
    <x v="2"/>
  </r>
  <r>
    <s v="ORD-10709"/>
    <x v="21"/>
    <s v="Customer 173"/>
    <x v="6"/>
    <x v="2"/>
    <x v="0"/>
    <n v="1"/>
    <n v="3132"/>
    <n v="0.1"/>
    <x v="705"/>
    <x v="0"/>
    <x v="0"/>
  </r>
  <r>
    <s v="ORD-10710"/>
    <x v="23"/>
    <s v="Customer 218"/>
    <x v="2"/>
    <x v="6"/>
    <x v="0"/>
    <n v="1"/>
    <n v="7304.03"/>
    <n v="0"/>
    <x v="706"/>
    <x v="2"/>
    <x v="2"/>
  </r>
  <r>
    <s v="ORD-10711"/>
    <x v="310"/>
    <s v="Customer 151"/>
    <x v="4"/>
    <x v="1"/>
    <x v="1"/>
    <n v="2"/>
    <n v="4697.33"/>
    <n v="0.1"/>
    <x v="707"/>
    <x v="2"/>
    <x v="1"/>
  </r>
  <r>
    <s v="ORD-10712"/>
    <x v="85"/>
    <s v="Customer 126"/>
    <x v="5"/>
    <x v="5"/>
    <x v="1"/>
    <n v="2"/>
    <n v="6749.24"/>
    <n v="0"/>
    <x v="708"/>
    <x v="0"/>
    <x v="0"/>
  </r>
  <r>
    <s v="ORD-10713"/>
    <x v="143"/>
    <s v="Customer 185"/>
    <x v="5"/>
    <x v="6"/>
    <x v="0"/>
    <n v="1"/>
    <n v="8114.9"/>
    <n v="0.05"/>
    <x v="709"/>
    <x v="3"/>
    <x v="2"/>
  </r>
  <r>
    <s v="ORD-10714"/>
    <x v="79"/>
    <s v="Customer 113"/>
    <x v="4"/>
    <x v="5"/>
    <x v="1"/>
    <n v="1"/>
    <n v="7106.72"/>
    <n v="0.05"/>
    <x v="710"/>
    <x v="1"/>
    <x v="2"/>
  </r>
  <r>
    <s v="ORD-10715"/>
    <x v="311"/>
    <s v="Customer 44"/>
    <x v="5"/>
    <x v="8"/>
    <x v="1"/>
    <n v="1"/>
    <n v="1180.1199999999999"/>
    <n v="0.05"/>
    <x v="711"/>
    <x v="1"/>
    <x v="2"/>
  </r>
  <r>
    <s v="ORD-10716"/>
    <x v="250"/>
    <s v="Customer 37"/>
    <x v="3"/>
    <x v="8"/>
    <x v="1"/>
    <n v="1"/>
    <n v="1203.03"/>
    <n v="0.2"/>
    <x v="712"/>
    <x v="0"/>
    <x v="0"/>
  </r>
  <r>
    <s v="ORD-10717"/>
    <x v="57"/>
    <s v="Customer 44"/>
    <x v="5"/>
    <x v="2"/>
    <x v="0"/>
    <n v="1"/>
    <n v="3379.23"/>
    <n v="0"/>
    <x v="713"/>
    <x v="3"/>
    <x v="0"/>
  </r>
  <r>
    <s v="ORD-10718"/>
    <x v="165"/>
    <s v="Customer 41"/>
    <x v="3"/>
    <x v="0"/>
    <x v="0"/>
    <n v="4"/>
    <n v="23050.12"/>
    <n v="0"/>
    <x v="714"/>
    <x v="0"/>
    <x v="2"/>
  </r>
  <r>
    <s v="ORD-10719"/>
    <x v="132"/>
    <s v="Customer 92"/>
    <x v="2"/>
    <x v="5"/>
    <x v="1"/>
    <n v="2"/>
    <n v="5915.23"/>
    <n v="0.2"/>
    <x v="715"/>
    <x v="0"/>
    <x v="1"/>
  </r>
  <r>
    <s v="ORD-10720"/>
    <x v="312"/>
    <s v="Customer 52"/>
    <x v="3"/>
    <x v="4"/>
    <x v="3"/>
    <n v="1"/>
    <n v="1446.22"/>
    <n v="0"/>
    <x v="716"/>
    <x v="2"/>
    <x v="0"/>
  </r>
  <r>
    <s v="ORD-10721"/>
    <x v="313"/>
    <s v="Customer 190"/>
    <x v="3"/>
    <x v="7"/>
    <x v="0"/>
    <n v="3"/>
    <n v="29466.58"/>
    <n v="0"/>
    <x v="717"/>
    <x v="0"/>
    <x v="0"/>
  </r>
  <r>
    <s v="ORD-10722"/>
    <x v="247"/>
    <s v="Customer 21"/>
    <x v="1"/>
    <x v="5"/>
    <x v="1"/>
    <n v="1"/>
    <n v="7012.11"/>
    <n v="0.15"/>
    <x v="718"/>
    <x v="0"/>
    <x v="0"/>
  </r>
  <r>
    <s v="ORD-10723"/>
    <x v="12"/>
    <s v="Customer 120"/>
    <x v="3"/>
    <x v="6"/>
    <x v="0"/>
    <n v="1"/>
    <n v="8085.66"/>
    <n v="0.05"/>
    <x v="719"/>
    <x v="1"/>
    <x v="0"/>
  </r>
  <r>
    <s v="ORD-10724"/>
    <x v="314"/>
    <s v="Customer 40"/>
    <x v="0"/>
    <x v="6"/>
    <x v="0"/>
    <n v="3"/>
    <n v="7631.44"/>
    <n v="0.1"/>
    <x v="720"/>
    <x v="3"/>
    <x v="0"/>
  </r>
  <r>
    <s v="ORD-10725"/>
    <x v="178"/>
    <s v="Customer 183"/>
    <x v="5"/>
    <x v="8"/>
    <x v="1"/>
    <n v="1"/>
    <n v="1100.8699999999999"/>
    <n v="0"/>
    <x v="721"/>
    <x v="1"/>
    <x v="0"/>
  </r>
  <r>
    <s v="ORD-10726"/>
    <x v="139"/>
    <s v="Customer 135"/>
    <x v="4"/>
    <x v="3"/>
    <x v="2"/>
    <n v="3"/>
    <n v="1911.85"/>
    <n v="0"/>
    <x v="722"/>
    <x v="0"/>
    <x v="1"/>
  </r>
  <r>
    <s v="ORD-10727"/>
    <x v="312"/>
    <s v="Customer 100"/>
    <x v="0"/>
    <x v="6"/>
    <x v="0"/>
    <n v="3"/>
    <n v="7551.21"/>
    <n v="0"/>
    <x v="723"/>
    <x v="3"/>
    <x v="0"/>
  </r>
  <r>
    <s v="ORD-10728"/>
    <x v="296"/>
    <s v="Customer 158"/>
    <x v="1"/>
    <x v="1"/>
    <x v="1"/>
    <n v="4"/>
    <n v="5597.92"/>
    <n v="0"/>
    <x v="724"/>
    <x v="2"/>
    <x v="1"/>
  </r>
  <r>
    <s v="ORD-10729"/>
    <x v="315"/>
    <s v="Customer 211"/>
    <x v="1"/>
    <x v="2"/>
    <x v="0"/>
    <n v="2"/>
    <n v="3209.71"/>
    <n v="0.1"/>
    <x v="725"/>
    <x v="1"/>
    <x v="0"/>
  </r>
  <r>
    <s v="ORD-10730"/>
    <x v="316"/>
    <s v="Customer 9"/>
    <x v="5"/>
    <x v="4"/>
    <x v="3"/>
    <n v="1"/>
    <n v="1551.03"/>
    <n v="0.05"/>
    <x v="726"/>
    <x v="2"/>
    <x v="0"/>
  </r>
  <r>
    <s v="ORD-10731"/>
    <x v="211"/>
    <s v="Customer 213"/>
    <x v="2"/>
    <x v="4"/>
    <x v="3"/>
    <n v="2"/>
    <n v="1699.19"/>
    <n v="0"/>
    <x v="727"/>
    <x v="3"/>
    <x v="0"/>
  </r>
  <r>
    <s v="ORD-10732"/>
    <x v="167"/>
    <s v="Customer 112"/>
    <x v="4"/>
    <x v="0"/>
    <x v="0"/>
    <n v="1"/>
    <n v="21046.59"/>
    <n v="0.1"/>
    <x v="728"/>
    <x v="2"/>
    <x v="1"/>
  </r>
  <r>
    <s v="ORD-10733"/>
    <x v="183"/>
    <s v="Customer 162"/>
    <x v="5"/>
    <x v="1"/>
    <x v="1"/>
    <n v="1"/>
    <n v="5582.7"/>
    <n v="0.05"/>
    <x v="729"/>
    <x v="2"/>
    <x v="0"/>
  </r>
  <r>
    <s v="ORD-10734"/>
    <x v="21"/>
    <s v="Customer 179"/>
    <x v="0"/>
    <x v="5"/>
    <x v="1"/>
    <n v="1"/>
    <n v="6167.19"/>
    <n v="0.15"/>
    <x v="730"/>
    <x v="1"/>
    <x v="0"/>
  </r>
  <r>
    <s v="ORD-10735"/>
    <x v="258"/>
    <s v="Customer 194"/>
    <x v="0"/>
    <x v="0"/>
    <x v="0"/>
    <n v="3"/>
    <n v="20762.439999999999"/>
    <n v="0.2"/>
    <x v="731"/>
    <x v="1"/>
    <x v="1"/>
  </r>
  <r>
    <s v="ORD-10736"/>
    <x v="107"/>
    <s v="Customer 217"/>
    <x v="2"/>
    <x v="0"/>
    <x v="0"/>
    <n v="2"/>
    <n v="19107.04"/>
    <n v="0"/>
    <x v="732"/>
    <x v="0"/>
    <x v="0"/>
  </r>
  <r>
    <s v="ORD-10737"/>
    <x v="317"/>
    <s v="Customer 146"/>
    <x v="6"/>
    <x v="8"/>
    <x v="1"/>
    <n v="1"/>
    <n v="1154.27"/>
    <n v="0"/>
    <x v="733"/>
    <x v="1"/>
    <x v="0"/>
  </r>
  <r>
    <s v="ORD-10738"/>
    <x v="316"/>
    <s v="Customer 119"/>
    <x v="6"/>
    <x v="3"/>
    <x v="2"/>
    <n v="3"/>
    <n v="1620.97"/>
    <n v="0.05"/>
    <x v="734"/>
    <x v="1"/>
    <x v="0"/>
  </r>
  <r>
    <s v="ORD-10739"/>
    <x v="130"/>
    <s v="Customer 178"/>
    <x v="3"/>
    <x v="6"/>
    <x v="0"/>
    <n v="1"/>
    <n v="7780.78"/>
    <n v="0.05"/>
    <x v="735"/>
    <x v="1"/>
    <x v="0"/>
  </r>
  <r>
    <s v="ORD-10740"/>
    <x v="49"/>
    <s v="Customer 176"/>
    <x v="2"/>
    <x v="6"/>
    <x v="0"/>
    <n v="2"/>
    <n v="6853.39"/>
    <n v="0"/>
    <x v="736"/>
    <x v="0"/>
    <x v="0"/>
  </r>
  <r>
    <s v="ORD-10741"/>
    <x v="139"/>
    <s v="Customer 69"/>
    <x v="6"/>
    <x v="1"/>
    <x v="1"/>
    <n v="1"/>
    <n v="4961.99"/>
    <n v="0.1"/>
    <x v="737"/>
    <x v="3"/>
    <x v="0"/>
  </r>
  <r>
    <s v="ORD-10742"/>
    <x v="63"/>
    <s v="Customer 68"/>
    <x v="2"/>
    <x v="0"/>
    <x v="0"/>
    <n v="1"/>
    <n v="22909.599999999999"/>
    <n v="0.2"/>
    <x v="738"/>
    <x v="3"/>
    <x v="0"/>
  </r>
  <r>
    <s v="ORD-10743"/>
    <x v="148"/>
    <s v="Customer 46"/>
    <x v="4"/>
    <x v="0"/>
    <x v="0"/>
    <n v="1"/>
    <n v="22166.46"/>
    <n v="0.05"/>
    <x v="739"/>
    <x v="3"/>
    <x v="0"/>
  </r>
  <r>
    <s v="ORD-10744"/>
    <x v="288"/>
    <s v="Customer 77"/>
    <x v="1"/>
    <x v="9"/>
    <x v="3"/>
    <n v="1"/>
    <n v="2912.88"/>
    <n v="0"/>
    <x v="740"/>
    <x v="1"/>
    <x v="0"/>
  </r>
  <r>
    <s v="ORD-10745"/>
    <x v="133"/>
    <s v="Customer 188"/>
    <x v="6"/>
    <x v="9"/>
    <x v="3"/>
    <n v="2"/>
    <n v="2974.51"/>
    <n v="0"/>
    <x v="741"/>
    <x v="2"/>
    <x v="1"/>
  </r>
  <r>
    <s v="ORD-10746"/>
    <x v="71"/>
    <s v="Customer 13"/>
    <x v="6"/>
    <x v="9"/>
    <x v="3"/>
    <n v="5"/>
    <n v="2890.9"/>
    <n v="0"/>
    <x v="742"/>
    <x v="3"/>
    <x v="0"/>
  </r>
  <r>
    <s v="ORD-10747"/>
    <x v="44"/>
    <s v="Customer 11"/>
    <x v="4"/>
    <x v="5"/>
    <x v="1"/>
    <n v="2"/>
    <n v="6188.92"/>
    <n v="0"/>
    <x v="743"/>
    <x v="0"/>
    <x v="0"/>
  </r>
  <r>
    <s v="ORD-10748"/>
    <x v="205"/>
    <s v="Customer 71"/>
    <x v="3"/>
    <x v="8"/>
    <x v="1"/>
    <n v="2"/>
    <n v="1086.5"/>
    <n v="0.05"/>
    <x v="744"/>
    <x v="1"/>
    <x v="2"/>
  </r>
  <r>
    <s v="ORD-10749"/>
    <x v="150"/>
    <s v="Customer 39"/>
    <x v="2"/>
    <x v="7"/>
    <x v="0"/>
    <n v="2"/>
    <n v="27698.55"/>
    <n v="0"/>
    <x v="745"/>
    <x v="3"/>
    <x v="2"/>
  </r>
  <r>
    <s v="ORD-10750"/>
    <x v="79"/>
    <s v="Customer 84"/>
    <x v="2"/>
    <x v="9"/>
    <x v="3"/>
    <n v="1"/>
    <n v="2972.46"/>
    <n v="0.1"/>
    <x v="746"/>
    <x v="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6EB8B0-21C2-460F-B8E2-63DDA034F8CE}" name="PivotTable3" cacheId="15" applyNumberFormats="0" applyBorderFormats="0" applyFontFormats="0" applyPatternFormats="0" applyAlignmentFormats="0" applyWidthHeightFormats="1" dataCaption="Değerler" updatedVersion="7" minRefreshableVersion="3" useAutoFormatting="1" itemPrintTitles="1" createdVersion="7" indent="0" outline="1" outlineData="1" multipleFieldFilters="0">
  <location ref="A3:B8" firstHeaderRow="1" firstDataRow="1" firstDataCol="1"/>
  <pivotFields count="13">
    <pivotField dataField="1" showAll="0"/>
    <pivotField numFmtId="165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>
      <items count="9">
        <item x="4"/>
        <item x="6"/>
        <item x="3"/>
        <item x="1"/>
        <item x="2"/>
        <item x="0"/>
        <item x="5"/>
        <item x="7"/>
        <item t="default"/>
      </items>
    </pivotField>
    <pivotField showAll="0">
      <items count="12">
        <item x="3"/>
        <item x="1"/>
        <item x="8"/>
        <item x="4"/>
        <item x="7"/>
        <item x="5"/>
        <item x="6"/>
        <item x="0"/>
        <item x="9"/>
        <item x="2"/>
        <item x="10"/>
        <item t="default"/>
      </items>
    </pivotField>
    <pivotField showAll="0">
      <items count="5">
        <item x="2"/>
        <item x="0"/>
        <item x="3"/>
        <item x="1"/>
        <item t="default"/>
      </items>
    </pivotField>
    <pivotField showAll="0"/>
    <pivotField showAll="0"/>
    <pivotField showAll="0"/>
    <pivotField showAll="0">
      <items count="748">
        <item x="666"/>
        <item x="592"/>
        <item x="712"/>
        <item x="106"/>
        <item x="441"/>
        <item x="100"/>
        <item x="359"/>
        <item x="141"/>
        <item x="12"/>
        <item x="41"/>
        <item x="393"/>
        <item x="195"/>
        <item x="182"/>
        <item x="338"/>
        <item x="522"/>
        <item x="296"/>
        <item x="608"/>
        <item x="721"/>
        <item x="687"/>
        <item x="71"/>
        <item x="205"/>
        <item x="711"/>
        <item x="57"/>
        <item x="240"/>
        <item x="298"/>
        <item x="239"/>
        <item x="449"/>
        <item x="86"/>
        <item x="733"/>
        <item x="694"/>
        <item x="202"/>
        <item x="266"/>
        <item x="120"/>
        <item x="580"/>
        <item x="283"/>
        <item x="328"/>
        <item x="70"/>
        <item x="467"/>
        <item x="403"/>
        <item x="688"/>
        <item x="20"/>
        <item x="663"/>
        <item x="243"/>
        <item x="429"/>
        <item x="337"/>
        <item x="544"/>
        <item x="697"/>
        <item x="696"/>
        <item x="286"/>
        <item x="716"/>
        <item x="179"/>
        <item x="152"/>
        <item x="726"/>
        <item x="515"/>
        <item x="186"/>
        <item x="619"/>
        <item x="485"/>
        <item x="493"/>
        <item x="4"/>
        <item x="392"/>
        <item x="678"/>
        <item x="285"/>
        <item x="386"/>
        <item x="373"/>
        <item x="582"/>
        <item x="530"/>
        <item x="149"/>
        <item x="112"/>
        <item x="565"/>
        <item x="299"/>
        <item x="404"/>
        <item x="420"/>
        <item x="475"/>
        <item x="563"/>
        <item x="496"/>
        <item x="198"/>
        <item x="244"/>
        <item x="521"/>
        <item x="517"/>
        <item x="236"/>
        <item x="543"/>
        <item x="260"/>
        <item x="603"/>
        <item x="83"/>
        <item x="5"/>
        <item x="248"/>
        <item x="578"/>
        <item x="32"/>
        <item x="274"/>
        <item x="166"/>
        <item x="134"/>
        <item x="44"/>
        <item x="623"/>
        <item x="566"/>
        <item x="191"/>
        <item x="636"/>
        <item x="630"/>
        <item x="130"/>
        <item x="188"/>
        <item x="686"/>
        <item x="279"/>
        <item x="80"/>
        <item x="354"/>
        <item x="327"/>
        <item x="460"/>
        <item x="332"/>
        <item x="567"/>
        <item x="257"/>
        <item x="455"/>
        <item x="744"/>
        <item x="43"/>
        <item x="184"/>
        <item x="234"/>
        <item x="553"/>
        <item x="416"/>
        <item x="109"/>
        <item x="324"/>
        <item x="624"/>
        <item x="348"/>
        <item x="118"/>
        <item x="389"/>
        <item x="495"/>
        <item x="613"/>
        <item x="21"/>
        <item x="301"/>
        <item x="385"/>
        <item x="335"/>
        <item x="347"/>
        <item x="151"/>
        <item x="436"/>
        <item x="640"/>
        <item x="498"/>
        <item x="661"/>
        <item x="602"/>
        <item x="451"/>
        <item x="573"/>
        <item x="290"/>
        <item x="96"/>
        <item x="23"/>
        <item x="655"/>
        <item x="245"/>
        <item x="446"/>
        <item x="398"/>
        <item x="379"/>
        <item x="703"/>
        <item x="639"/>
        <item x="333"/>
        <item x="180"/>
        <item x="229"/>
        <item x="488"/>
        <item x="635"/>
        <item x="618"/>
        <item x="494"/>
        <item x="65"/>
        <item x="680"/>
        <item x="129"/>
        <item x="555"/>
        <item x="746"/>
        <item x="189"/>
        <item x="660"/>
        <item x="282"/>
        <item x="350"/>
        <item x="278"/>
        <item x="579"/>
        <item x="84"/>
        <item x="641"/>
        <item x="381"/>
        <item x="316"/>
        <item x="310"/>
        <item x="581"/>
        <item x="588"/>
        <item x="682"/>
        <item x="631"/>
        <item x="571"/>
        <item x="168"/>
        <item x="353"/>
        <item x="264"/>
        <item x="406"/>
        <item x="705"/>
        <item x="538"/>
        <item x="29"/>
        <item x="695"/>
        <item x="370"/>
        <item x="128"/>
        <item x="546"/>
        <item x="61"/>
        <item x="124"/>
        <item x="154"/>
        <item x="740"/>
        <item x="192"/>
        <item x="357"/>
        <item x="196"/>
        <item x="664"/>
        <item x="58"/>
        <item x="659"/>
        <item x="193"/>
        <item x="157"/>
        <item x="600"/>
        <item x="465"/>
        <item x="317"/>
        <item x="532"/>
        <item x="102"/>
        <item x="469"/>
        <item x="369"/>
        <item x="73"/>
        <item x="3"/>
        <item x="438"/>
        <item x="372"/>
        <item x="37"/>
        <item x="313"/>
        <item x="81"/>
        <item x="159"/>
        <item x="414"/>
        <item x="556"/>
        <item x="38"/>
        <item x="59"/>
        <item x="606"/>
        <item x="638"/>
        <item x="382"/>
        <item x="559"/>
        <item x="254"/>
        <item x="314"/>
        <item x="562"/>
        <item x="280"/>
        <item x="173"/>
        <item x="319"/>
        <item x="591"/>
        <item x="653"/>
        <item x="380"/>
        <item x="169"/>
        <item x="231"/>
        <item x="2"/>
        <item x="323"/>
        <item x="590"/>
        <item x="351"/>
        <item x="417"/>
        <item x="470"/>
        <item x="247"/>
        <item x="611"/>
        <item x="133"/>
        <item x="443"/>
        <item x="510"/>
        <item x="621"/>
        <item x="609"/>
        <item x="219"/>
        <item x="431"/>
        <item x="190"/>
        <item x="509"/>
        <item x="340"/>
        <item x="218"/>
        <item x="439"/>
        <item x="616"/>
        <item x="529"/>
        <item x="713"/>
        <item x="114"/>
        <item x="651"/>
        <item x="727"/>
        <item x="587"/>
        <item x="629"/>
        <item x="444"/>
        <item x="91"/>
        <item x="637"/>
        <item x="368"/>
        <item x="14"/>
        <item x="437"/>
        <item x="258"/>
        <item x="142"/>
        <item x="206"/>
        <item x="434"/>
        <item x="645"/>
        <item x="390"/>
        <item x="342"/>
        <item x="425"/>
        <item x="589"/>
        <item x="737"/>
        <item x="62"/>
        <item x="458"/>
        <item x="541"/>
        <item x="377"/>
        <item x="49"/>
        <item x="734"/>
        <item x="256"/>
        <item x="75"/>
        <item x="312"/>
        <item x="391"/>
        <item x="267"/>
        <item x="361"/>
        <item x="405"/>
        <item x="360"/>
        <item x="459"/>
        <item x="53"/>
        <item x="601"/>
        <item x="512"/>
        <item x="321"/>
        <item x="363"/>
        <item x="241"/>
        <item x="222"/>
        <item x="139"/>
        <item x="197"/>
        <item x="366"/>
        <item x="568"/>
        <item x="395"/>
        <item x="365"/>
        <item x="307"/>
        <item x="482"/>
        <item x="483"/>
        <item x="540"/>
        <item x="551"/>
        <item x="506"/>
        <item x="677"/>
        <item x="201"/>
        <item x="450"/>
        <item x="25"/>
        <item x="341"/>
        <item x="480"/>
        <item x="433"/>
        <item x="375"/>
        <item x="730"/>
        <item x="673"/>
        <item x="507"/>
        <item x="729"/>
        <item x="570"/>
        <item x="26"/>
        <item x="577"/>
        <item x="552"/>
        <item x="614"/>
        <item x="683"/>
        <item x="93"/>
        <item x="585"/>
        <item x="411"/>
        <item x="204"/>
        <item x="557"/>
        <item x="127"/>
        <item x="343"/>
        <item x="607"/>
        <item x="675"/>
        <item x="55"/>
        <item x="456"/>
        <item x="593"/>
        <item x="6"/>
        <item x="722"/>
        <item x="77"/>
        <item x="572"/>
        <item x="7"/>
        <item x="725"/>
        <item x="69"/>
        <item x="35"/>
        <item x="207"/>
        <item x="125"/>
        <item x="473"/>
        <item x="203"/>
        <item x="667"/>
        <item x="135"/>
        <item x="101"/>
        <item x="419"/>
        <item x="181"/>
        <item x="528"/>
        <item x="471"/>
        <item x="633"/>
        <item x="533"/>
        <item x="741"/>
        <item x="650"/>
        <item x="615"/>
        <item x="718"/>
        <item x="171"/>
        <item x="647"/>
        <item x="698"/>
        <item x="136"/>
        <item x="684"/>
        <item x="628"/>
        <item x="303"/>
        <item x="31"/>
        <item x="237"/>
        <item x="383"/>
        <item x="82"/>
        <item x="108"/>
        <item x="681"/>
        <item x="662"/>
        <item x="674"/>
        <item x="487"/>
        <item x="89"/>
        <item x="388"/>
        <item x="262"/>
        <item x="11"/>
        <item x="699"/>
        <item x="160"/>
        <item x="79"/>
        <item x="212"/>
        <item x="700"/>
        <item x="447"/>
        <item x="183"/>
        <item x="376"/>
        <item x="610"/>
        <item x="66"/>
        <item x="547"/>
        <item x="216"/>
        <item x="165"/>
        <item x="276"/>
        <item x="704"/>
        <item x="48"/>
        <item x="269"/>
        <item x="221"/>
        <item x="710"/>
        <item x="284"/>
        <item x="329"/>
        <item x="19"/>
        <item x="604"/>
        <item x="627"/>
        <item x="122"/>
        <item x="685"/>
        <item x="331"/>
        <item x="634"/>
        <item x="253"/>
        <item x="583"/>
        <item x="214"/>
        <item x="531"/>
        <item x="162"/>
        <item x="397"/>
        <item x="484"/>
        <item x="654"/>
        <item x="477"/>
        <item x="176"/>
        <item x="706"/>
        <item x="88"/>
        <item x="161"/>
        <item x="172"/>
        <item x="735"/>
        <item x="440"/>
        <item x="315"/>
        <item x="309"/>
        <item x="232"/>
        <item x="490"/>
        <item x="574"/>
        <item x="175"/>
        <item x="719"/>
        <item x="709"/>
        <item x="520"/>
        <item x="242"/>
        <item x="92"/>
        <item x="423"/>
        <item x="137"/>
        <item x="549"/>
        <item x="131"/>
        <item x="255"/>
        <item x="259"/>
        <item x="371"/>
        <item x="548"/>
        <item x="707"/>
        <item x="1"/>
        <item x="76"/>
        <item x="665"/>
        <item x="103"/>
        <item x="599"/>
        <item x="185"/>
        <item x="428"/>
        <item x="287"/>
        <item x="99"/>
        <item x="513"/>
        <item x="452"/>
        <item x="468"/>
        <item x="272"/>
        <item x="268"/>
        <item x="435"/>
        <item x="111"/>
        <item x="146"/>
        <item x="715"/>
        <item x="594"/>
        <item x="463"/>
        <item x="518"/>
        <item x="297"/>
        <item x="527"/>
        <item x="273"/>
        <item x="121"/>
        <item x="16"/>
        <item x="132"/>
        <item x="119"/>
        <item x="60"/>
        <item x="489"/>
        <item x="147"/>
        <item x="339"/>
        <item x="679"/>
        <item x="561"/>
        <item x="208"/>
        <item x="464"/>
        <item x="305"/>
        <item x="72"/>
        <item x="612"/>
        <item x="672"/>
        <item x="320"/>
        <item x="586"/>
        <item x="387"/>
        <item x="336"/>
        <item x="413"/>
        <item x="78"/>
        <item x="542"/>
        <item x="167"/>
        <item x="690"/>
        <item x="502"/>
        <item x="418"/>
        <item x="525"/>
        <item x="334"/>
        <item x="448"/>
        <item x="291"/>
        <item x="138"/>
        <item x="85"/>
        <item x="300"/>
        <item x="743"/>
        <item x="194"/>
        <item x="115"/>
        <item x="670"/>
        <item x="270"/>
        <item x="598"/>
        <item x="658"/>
        <item x="702"/>
        <item x="126"/>
        <item x="199"/>
        <item x="584"/>
        <item x="708"/>
        <item x="736"/>
        <item x="117"/>
        <item x="178"/>
        <item x="90"/>
        <item x="358"/>
        <item x="378"/>
        <item x="408"/>
        <item x="27"/>
        <item x="486"/>
        <item x="400"/>
        <item x="46"/>
        <item x="514"/>
        <item x="394"/>
        <item x="200"/>
        <item x="344"/>
        <item x="742"/>
        <item x="648"/>
        <item x="652"/>
        <item x="491"/>
        <item x="47"/>
        <item x="228"/>
        <item x="657"/>
        <item x="17"/>
        <item x="644"/>
        <item x="304"/>
        <item x="364"/>
        <item x="289"/>
        <item x="516"/>
        <item x="550"/>
        <item x="94"/>
        <item x="140"/>
        <item x="374"/>
        <item x="251"/>
        <item x="22"/>
        <item x="643"/>
        <item x="426"/>
        <item x="104"/>
        <item x="235"/>
        <item x="249"/>
        <item x="107"/>
        <item x="308"/>
        <item x="410"/>
        <item x="51"/>
        <item x="738"/>
        <item x="252"/>
        <item x="325"/>
        <item x="481"/>
        <item x="626"/>
        <item x="728"/>
        <item x="15"/>
        <item x="9"/>
        <item x="322"/>
        <item x="526"/>
        <item x="302"/>
        <item x="40"/>
        <item x="367"/>
        <item x="293"/>
        <item x="246"/>
        <item x="34"/>
        <item x="442"/>
        <item x="98"/>
        <item x="330"/>
        <item x="209"/>
        <item x="42"/>
        <item x="656"/>
        <item x="52"/>
        <item x="36"/>
        <item x="396"/>
        <item x="292"/>
        <item x="622"/>
        <item x="545"/>
        <item x="226"/>
        <item x="632"/>
        <item x="8"/>
        <item x="720"/>
        <item x="472"/>
        <item x="453"/>
        <item x="158"/>
        <item x="220"/>
        <item x="45"/>
        <item x="595"/>
        <item x="150"/>
        <item x="739"/>
        <item x="432"/>
        <item x="148"/>
        <item x="536"/>
        <item x="311"/>
        <item x="415"/>
        <item x="215"/>
        <item x="349"/>
        <item x="519"/>
        <item x="163"/>
        <item x="511"/>
        <item x="620"/>
        <item x="564"/>
        <item x="271"/>
        <item x="649"/>
        <item x="724"/>
        <item x="295"/>
        <item x="617"/>
        <item x="723"/>
        <item x="318"/>
        <item x="401"/>
        <item x="384"/>
        <item x="505"/>
        <item x="461"/>
        <item x="499"/>
        <item x="238"/>
        <item x="346"/>
        <item x="693"/>
        <item x="227"/>
        <item x="153"/>
        <item x="24"/>
        <item x="345"/>
        <item x="445"/>
        <item x="39"/>
        <item x="424"/>
        <item x="110"/>
        <item x="534"/>
        <item x="123"/>
        <item x="492"/>
        <item x="30"/>
        <item x="10"/>
        <item x="97"/>
        <item x="537"/>
        <item x="87"/>
        <item x="224"/>
        <item x="294"/>
        <item x="503"/>
        <item x="225"/>
        <item x="560"/>
        <item x="508"/>
        <item x="187"/>
        <item x="523"/>
        <item x="145"/>
        <item x="575"/>
        <item x="164"/>
        <item x="689"/>
        <item x="539"/>
        <item x="478"/>
        <item x="474"/>
        <item x="430"/>
        <item x="275"/>
        <item x="524"/>
        <item x="143"/>
        <item x="412"/>
        <item x="576"/>
        <item x="466"/>
        <item x="28"/>
        <item x="213"/>
        <item x="476"/>
        <item x="250"/>
        <item x="281"/>
        <item x="113"/>
        <item x="211"/>
        <item x="732"/>
        <item x="54"/>
        <item x="605"/>
        <item x="479"/>
        <item x="144"/>
        <item x="692"/>
        <item x="501"/>
        <item x="668"/>
        <item x="597"/>
        <item x="642"/>
        <item x="362"/>
        <item x="263"/>
        <item x="33"/>
        <item x="399"/>
        <item x="409"/>
        <item x="669"/>
        <item x="230"/>
        <item x="95"/>
        <item x="67"/>
        <item x="421"/>
        <item x="671"/>
        <item x="355"/>
        <item x="326"/>
        <item x="691"/>
        <item x="731"/>
        <item x="56"/>
        <item x="422"/>
        <item x="233"/>
        <item x="497"/>
        <item x="457"/>
        <item x="68"/>
        <item x="554"/>
        <item x="407"/>
        <item x="217"/>
        <item x="13"/>
        <item x="745"/>
        <item x="174"/>
        <item x="63"/>
        <item x="454"/>
        <item x="427"/>
        <item x="462"/>
        <item x="558"/>
        <item x="50"/>
        <item x="277"/>
        <item x="156"/>
        <item x="116"/>
        <item x="569"/>
        <item x="261"/>
        <item x="105"/>
        <item x="210"/>
        <item x="356"/>
        <item x="676"/>
        <item x="625"/>
        <item x="0"/>
        <item x="504"/>
        <item x="265"/>
        <item x="177"/>
        <item x="18"/>
        <item x="155"/>
        <item x="717"/>
        <item x="64"/>
        <item x="306"/>
        <item x="714"/>
        <item x="288"/>
        <item x="402"/>
        <item x="352"/>
        <item x="646"/>
        <item x="170"/>
        <item x="596"/>
        <item x="500"/>
        <item x="535"/>
        <item x="701"/>
        <item x="223"/>
        <item x="74"/>
        <item t="default"/>
      </items>
    </pivotField>
    <pivotField axis="axisRow" showAll="0" sortType="descending">
      <items count="5">
        <item x="2"/>
        <item x="3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4">
        <item x="0"/>
        <item x="1"/>
        <item x="2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10"/>
  </rowFields>
  <rowItems count="5">
    <i>
      <x v="1"/>
    </i>
    <i>
      <x/>
    </i>
    <i>
      <x v="2"/>
    </i>
    <i>
      <x v="3"/>
    </i>
    <i t="grand">
      <x/>
    </i>
  </rowItems>
  <colItems count="1">
    <i/>
  </colItems>
  <dataFields count="1">
    <dataField name="Say Order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B4875-3C0B-4F97-A5E7-588282EB91A3}">
  <dimension ref="A3:B8"/>
  <sheetViews>
    <sheetView workbookViewId="0">
      <selection activeCell="B6" sqref="B6"/>
    </sheetView>
  </sheetViews>
  <sheetFormatPr defaultRowHeight="14.4" x14ac:dyDescent="0.3"/>
  <cols>
    <col min="1" max="1" width="14.77734375" bestFit="1" customWidth="1"/>
    <col min="2" max="2" width="11.44140625" bestFit="1" customWidth="1"/>
    <col min="3" max="8" width="7" bestFit="1" customWidth="1"/>
    <col min="9" max="10" width="8" bestFit="1" customWidth="1"/>
    <col min="11" max="11" width="7" bestFit="1" customWidth="1"/>
    <col min="12" max="24" width="8" bestFit="1" customWidth="1"/>
    <col min="25" max="25" width="7" bestFit="1" customWidth="1"/>
    <col min="26" max="46" width="8" bestFit="1" customWidth="1"/>
    <col min="47" max="47" width="7" bestFit="1" customWidth="1"/>
    <col min="48" max="51" width="8" bestFit="1" customWidth="1"/>
    <col min="52" max="52" width="7" bestFit="1" customWidth="1"/>
    <col min="53" max="76" width="8" bestFit="1" customWidth="1"/>
    <col min="77" max="77" width="5" bestFit="1" customWidth="1"/>
    <col min="78" max="86" width="8" bestFit="1" customWidth="1"/>
    <col min="87" max="87" width="7" bestFit="1" customWidth="1"/>
    <col min="88" max="88" width="8" bestFit="1" customWidth="1"/>
    <col min="89" max="89" width="7" bestFit="1" customWidth="1"/>
    <col min="90" max="105" width="8" bestFit="1" customWidth="1"/>
    <col min="106" max="106" width="7" bestFit="1" customWidth="1"/>
    <col min="107" max="112" width="8" bestFit="1" customWidth="1"/>
    <col min="113" max="113" width="7" bestFit="1" customWidth="1"/>
    <col min="114" max="118" width="8" bestFit="1" customWidth="1"/>
    <col min="119" max="121" width="7" bestFit="1" customWidth="1"/>
    <col min="122" max="125" width="8" bestFit="1" customWidth="1"/>
    <col min="126" max="126" width="7" bestFit="1" customWidth="1"/>
    <col min="127" max="132" width="8" bestFit="1" customWidth="1"/>
    <col min="133" max="133" width="7" bestFit="1" customWidth="1"/>
    <col min="134" max="138" width="8" bestFit="1" customWidth="1"/>
    <col min="139" max="140" width="7" bestFit="1" customWidth="1"/>
    <col min="141" max="143" width="8" bestFit="1" customWidth="1"/>
    <col min="144" max="144" width="7" bestFit="1" customWidth="1"/>
    <col min="145" max="149" width="8" bestFit="1" customWidth="1"/>
    <col min="150" max="150" width="7" bestFit="1" customWidth="1"/>
    <col min="151" max="153" width="8" bestFit="1" customWidth="1"/>
    <col min="154" max="154" width="7" bestFit="1" customWidth="1"/>
    <col min="155" max="177" width="8" bestFit="1" customWidth="1"/>
    <col min="178" max="178" width="7" bestFit="1" customWidth="1"/>
    <col min="179" max="179" width="8" bestFit="1" customWidth="1"/>
    <col min="180" max="180" width="7" bestFit="1" customWidth="1"/>
    <col min="181" max="182" width="8" bestFit="1" customWidth="1"/>
    <col min="183" max="183" width="7" bestFit="1" customWidth="1"/>
    <col min="184" max="184" width="8" bestFit="1" customWidth="1"/>
    <col min="185" max="185" width="7" bestFit="1" customWidth="1"/>
    <col min="186" max="211" width="8" bestFit="1" customWidth="1"/>
    <col min="212" max="213" width="7" bestFit="1" customWidth="1"/>
    <col min="214" max="214" width="8" bestFit="1" customWidth="1"/>
    <col min="215" max="215" width="7" bestFit="1" customWidth="1"/>
    <col min="216" max="225" width="8" bestFit="1" customWidth="1"/>
    <col min="226" max="227" width="7" bestFit="1" customWidth="1"/>
    <col min="228" max="245" width="8" bestFit="1" customWidth="1"/>
    <col min="246" max="247" width="7" bestFit="1" customWidth="1"/>
    <col min="248" max="256" width="8" bestFit="1" customWidth="1"/>
    <col min="257" max="257" width="7" bestFit="1" customWidth="1"/>
    <col min="258" max="266" width="8" bestFit="1" customWidth="1"/>
    <col min="267" max="267" width="5" bestFit="1" customWidth="1"/>
    <col min="268" max="273" width="8" bestFit="1" customWidth="1"/>
    <col min="274" max="274" width="7" bestFit="1" customWidth="1"/>
    <col min="275" max="288" width="8" bestFit="1" customWidth="1"/>
    <col min="289" max="289" width="7" bestFit="1" customWidth="1"/>
    <col min="290" max="290" width="8" bestFit="1" customWidth="1"/>
    <col min="291" max="291" width="7" bestFit="1" customWidth="1"/>
    <col min="292" max="296" width="8" bestFit="1" customWidth="1"/>
    <col min="297" max="297" width="7" bestFit="1" customWidth="1"/>
    <col min="298" max="301" width="8" bestFit="1" customWidth="1"/>
    <col min="302" max="302" width="7" bestFit="1" customWidth="1"/>
    <col min="303" max="334" width="8" bestFit="1" customWidth="1"/>
    <col min="335" max="335" width="7" bestFit="1" customWidth="1"/>
    <col min="336" max="339" width="8" bestFit="1" customWidth="1"/>
    <col min="340" max="340" width="7" bestFit="1" customWidth="1"/>
    <col min="341" max="352" width="8" bestFit="1" customWidth="1"/>
    <col min="353" max="353" width="7" bestFit="1" customWidth="1"/>
    <col min="354" max="370" width="8" bestFit="1" customWidth="1"/>
    <col min="371" max="372" width="7" bestFit="1" customWidth="1"/>
    <col min="373" max="387" width="8" bestFit="1" customWidth="1"/>
    <col min="388" max="388" width="7" bestFit="1" customWidth="1"/>
    <col min="389" max="395" width="8" bestFit="1" customWidth="1"/>
    <col min="396" max="396" width="7" bestFit="1" customWidth="1"/>
    <col min="397" max="439" width="8" bestFit="1" customWidth="1"/>
    <col min="440" max="440" width="5" bestFit="1" customWidth="1"/>
    <col min="441" max="455" width="8" bestFit="1" customWidth="1"/>
    <col min="456" max="456" width="5" bestFit="1" customWidth="1"/>
    <col min="457" max="463" width="8" bestFit="1" customWidth="1"/>
    <col min="464" max="464" width="7" bestFit="1" customWidth="1"/>
    <col min="465" max="468" width="8" bestFit="1" customWidth="1"/>
    <col min="469" max="469" width="7" bestFit="1" customWidth="1"/>
    <col min="470" max="474" width="8" bestFit="1" customWidth="1"/>
    <col min="475" max="475" width="9" bestFit="1" customWidth="1"/>
    <col min="476" max="476" width="8" bestFit="1" customWidth="1"/>
    <col min="477" max="489" width="9" bestFit="1" customWidth="1"/>
    <col min="490" max="490" width="8" bestFit="1" customWidth="1"/>
    <col min="491" max="498" width="9" bestFit="1" customWidth="1"/>
    <col min="499" max="499" width="8" bestFit="1" customWidth="1"/>
    <col min="500" max="515" width="9" bestFit="1" customWidth="1"/>
    <col min="516" max="517" width="8" bestFit="1" customWidth="1"/>
    <col min="518" max="521" width="9" bestFit="1" customWidth="1"/>
    <col min="522" max="522" width="8" bestFit="1" customWidth="1"/>
    <col min="523" max="523" width="9" bestFit="1" customWidth="1"/>
    <col min="524" max="524" width="8" bestFit="1" customWidth="1"/>
    <col min="525" max="531" width="9" bestFit="1" customWidth="1"/>
    <col min="532" max="532" width="6" bestFit="1" customWidth="1"/>
    <col min="533" max="533" width="9" bestFit="1" customWidth="1"/>
    <col min="534" max="535" width="8" bestFit="1" customWidth="1"/>
    <col min="536" max="538" width="9" bestFit="1" customWidth="1"/>
    <col min="539" max="540" width="8" bestFit="1" customWidth="1"/>
    <col min="541" max="551" width="9" bestFit="1" customWidth="1"/>
    <col min="552" max="552" width="8" bestFit="1" customWidth="1"/>
    <col min="553" max="554" width="9" bestFit="1" customWidth="1"/>
    <col min="555" max="555" width="8" bestFit="1" customWidth="1"/>
    <col min="556" max="557" width="9" bestFit="1" customWidth="1"/>
    <col min="558" max="558" width="8" bestFit="1" customWidth="1"/>
    <col min="559" max="565" width="9" bestFit="1" customWidth="1"/>
    <col min="566" max="566" width="8" bestFit="1" customWidth="1"/>
    <col min="567" max="579" width="9" bestFit="1" customWidth="1"/>
    <col min="580" max="580" width="8" bestFit="1" customWidth="1"/>
    <col min="581" max="587" width="9" bestFit="1" customWidth="1"/>
    <col min="588" max="590" width="8" bestFit="1" customWidth="1"/>
    <col min="591" max="608" width="9" bestFit="1" customWidth="1"/>
    <col min="609" max="609" width="6" bestFit="1" customWidth="1"/>
    <col min="610" max="614" width="9" bestFit="1" customWidth="1"/>
    <col min="615" max="615" width="8" bestFit="1" customWidth="1"/>
    <col min="616" max="624" width="9" bestFit="1" customWidth="1"/>
    <col min="625" max="625" width="8" bestFit="1" customWidth="1"/>
    <col min="626" max="643" width="9" bestFit="1" customWidth="1"/>
    <col min="644" max="644" width="8" bestFit="1" customWidth="1"/>
    <col min="645" max="654" width="9" bestFit="1" customWidth="1"/>
    <col min="655" max="655" width="8" bestFit="1" customWidth="1"/>
    <col min="656" max="661" width="9" bestFit="1" customWidth="1"/>
    <col min="662" max="662" width="8" bestFit="1" customWidth="1"/>
    <col min="663" max="673" width="9" bestFit="1" customWidth="1"/>
    <col min="674" max="674" width="8" bestFit="1" customWidth="1"/>
    <col min="675" max="683" width="9" bestFit="1" customWidth="1"/>
    <col min="684" max="684" width="8" bestFit="1" customWidth="1"/>
    <col min="685" max="685" width="9" bestFit="1" customWidth="1"/>
    <col min="686" max="686" width="8" bestFit="1" customWidth="1"/>
    <col min="687" max="690" width="9" bestFit="1" customWidth="1"/>
    <col min="691" max="691" width="8" bestFit="1" customWidth="1"/>
    <col min="692" max="709" width="9" bestFit="1" customWidth="1"/>
    <col min="710" max="711" width="8" bestFit="1" customWidth="1"/>
    <col min="712" max="716" width="9" bestFit="1" customWidth="1"/>
    <col min="717" max="717" width="8" bestFit="1" customWidth="1"/>
    <col min="718" max="719" width="9" bestFit="1" customWidth="1"/>
    <col min="720" max="720" width="8" bestFit="1" customWidth="1"/>
    <col min="721" max="722" width="9" bestFit="1" customWidth="1"/>
    <col min="723" max="723" width="8" bestFit="1" customWidth="1"/>
    <col min="724" max="740" width="9" bestFit="1" customWidth="1"/>
    <col min="741" max="741" width="10" bestFit="1" customWidth="1"/>
    <col min="742" max="742" width="9" bestFit="1" customWidth="1"/>
    <col min="743" max="747" width="10" bestFit="1" customWidth="1"/>
    <col min="748" max="748" width="5.33203125" bestFit="1" customWidth="1"/>
    <col min="749" max="749" width="12.5546875" bestFit="1" customWidth="1"/>
  </cols>
  <sheetData>
    <row r="3" spans="1:2" x14ac:dyDescent="0.3">
      <c r="A3" s="4" t="s">
        <v>1009</v>
      </c>
      <c r="B3" t="s">
        <v>1011</v>
      </c>
    </row>
    <row r="4" spans="1:2" x14ac:dyDescent="0.3">
      <c r="A4" s="5" t="s">
        <v>37</v>
      </c>
      <c r="B4" s="6">
        <v>211</v>
      </c>
    </row>
    <row r="5" spans="1:2" x14ac:dyDescent="0.3">
      <c r="A5" s="5" t="s">
        <v>32</v>
      </c>
      <c r="B5" s="6">
        <v>189</v>
      </c>
    </row>
    <row r="6" spans="1:2" x14ac:dyDescent="0.3">
      <c r="A6" s="5" t="s">
        <v>24</v>
      </c>
      <c r="B6" s="6">
        <v>179</v>
      </c>
    </row>
    <row r="7" spans="1:2" x14ac:dyDescent="0.3">
      <c r="A7" s="5" t="s">
        <v>17</v>
      </c>
      <c r="B7" s="6">
        <v>171</v>
      </c>
    </row>
    <row r="8" spans="1:2" x14ac:dyDescent="0.3">
      <c r="A8" s="5" t="s">
        <v>1010</v>
      </c>
      <c r="B8" s="6">
        <v>750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51"/>
  <sheetViews>
    <sheetView tabSelected="1" topLeftCell="F45" workbookViewId="0">
      <selection activeCell="N1" sqref="N1:N70"/>
    </sheetView>
  </sheetViews>
  <sheetFormatPr defaultRowHeight="14.4" x14ac:dyDescent="0.3"/>
  <cols>
    <col min="5" max="5" width="40.5546875" customWidth="1"/>
    <col min="6" max="6" width="31.33203125" customWidth="1"/>
    <col min="11" max="11" width="21.21875" customWidth="1"/>
    <col min="12" max="12" width="19.88671875" customWidth="1"/>
    <col min="13" max="13" width="18.33203125" customWidth="1"/>
    <col min="14" max="14" width="8.88671875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t="str">
        <f>IF(J2&gt;15000, "VIP", "Standart")</f>
        <v>VIP</v>
      </c>
    </row>
    <row r="2" spans="1:14" x14ac:dyDescent="0.3">
      <c r="A2" t="s">
        <v>12</v>
      </c>
      <c r="B2" s="2">
        <v>45760</v>
      </c>
      <c r="C2" t="s">
        <v>13</v>
      </c>
      <c r="D2" t="s">
        <v>14</v>
      </c>
      <c r="E2" t="s">
        <v>15</v>
      </c>
      <c r="F2" t="s">
        <v>16</v>
      </c>
      <c r="G2">
        <v>4</v>
      </c>
      <c r="H2">
        <v>21414.37</v>
      </c>
      <c r="I2">
        <v>0.1</v>
      </c>
      <c r="J2">
        <v>77091.73</v>
      </c>
      <c r="K2" t="s">
        <v>17</v>
      </c>
      <c r="L2" t="s">
        <v>18</v>
      </c>
      <c r="N2" t="str">
        <f t="shared" ref="N2:N65" si="0">IF(J3&gt;15000, "VIP", "Standart")</f>
        <v>Standart</v>
      </c>
    </row>
    <row r="3" spans="1:14" x14ac:dyDescent="0.3">
      <c r="A3" t="s">
        <v>19</v>
      </c>
      <c r="B3" s="2">
        <v>45915</v>
      </c>
      <c r="C3" t="s">
        <v>20</v>
      </c>
      <c r="D3" t="s">
        <v>21</v>
      </c>
      <c r="E3" t="s">
        <v>22</v>
      </c>
      <c r="F3" t="s">
        <v>23</v>
      </c>
      <c r="G3">
        <v>2</v>
      </c>
      <c r="H3">
        <v>4701.41</v>
      </c>
      <c r="I3">
        <v>0.1</v>
      </c>
      <c r="J3">
        <v>8462.5400000000009</v>
      </c>
      <c r="K3" t="s">
        <v>24</v>
      </c>
      <c r="L3" t="s">
        <v>18</v>
      </c>
      <c r="N3" t="str">
        <f t="shared" si="0"/>
        <v>Standart</v>
      </c>
    </row>
    <row r="4" spans="1:14" x14ac:dyDescent="0.3">
      <c r="A4" t="s">
        <v>25</v>
      </c>
      <c r="B4" s="2">
        <v>45893</v>
      </c>
      <c r="C4" t="s">
        <v>26</v>
      </c>
      <c r="D4" t="s">
        <v>27</v>
      </c>
      <c r="E4" t="s">
        <v>28</v>
      </c>
      <c r="F4" t="s">
        <v>16</v>
      </c>
      <c r="G4">
        <v>1</v>
      </c>
      <c r="H4">
        <v>3215.84</v>
      </c>
      <c r="I4">
        <v>0</v>
      </c>
      <c r="J4">
        <v>3215.84</v>
      </c>
      <c r="K4" t="s">
        <v>17</v>
      </c>
      <c r="L4" t="s">
        <v>29</v>
      </c>
      <c r="N4" t="str">
        <f t="shared" si="0"/>
        <v>Standart</v>
      </c>
    </row>
    <row r="5" spans="1:14" x14ac:dyDescent="0.3">
      <c r="A5" t="s">
        <v>30</v>
      </c>
      <c r="B5" s="2">
        <v>45832</v>
      </c>
      <c r="C5" t="s">
        <v>31</v>
      </c>
      <c r="D5" t="s">
        <v>14</v>
      </c>
      <c r="E5" t="s">
        <v>28</v>
      </c>
      <c r="F5" t="s">
        <v>16</v>
      </c>
      <c r="G5">
        <v>1</v>
      </c>
      <c r="H5">
        <v>3171.88</v>
      </c>
      <c r="I5">
        <v>0.05</v>
      </c>
      <c r="J5">
        <v>3013.29</v>
      </c>
      <c r="K5" t="s">
        <v>32</v>
      </c>
      <c r="L5" t="s">
        <v>18</v>
      </c>
      <c r="N5" t="str">
        <f t="shared" si="0"/>
        <v>Standart</v>
      </c>
    </row>
    <row r="6" spans="1:14" x14ac:dyDescent="0.3">
      <c r="A6" t="s">
        <v>33</v>
      </c>
      <c r="B6" s="2">
        <v>45824</v>
      </c>
      <c r="C6" t="s">
        <v>34</v>
      </c>
      <c r="D6" t="s">
        <v>21</v>
      </c>
      <c r="E6" t="s">
        <v>35</v>
      </c>
      <c r="F6" t="s">
        <v>36</v>
      </c>
      <c r="G6">
        <v>1</v>
      </c>
      <c r="H6">
        <v>1681.39</v>
      </c>
      <c r="I6">
        <v>0.1</v>
      </c>
      <c r="J6">
        <v>1513.25</v>
      </c>
      <c r="K6" t="s">
        <v>37</v>
      </c>
      <c r="L6" t="s">
        <v>38</v>
      </c>
      <c r="M6">
        <f>SUM(J2:J751)</f>
        <v>10514373.729999997</v>
      </c>
      <c r="N6" t="str">
        <f t="shared" si="0"/>
        <v>Standart</v>
      </c>
    </row>
    <row r="7" spans="1:14" x14ac:dyDescent="0.3">
      <c r="A7" t="s">
        <v>39</v>
      </c>
      <c r="B7" s="2">
        <v>45921</v>
      </c>
      <c r="C7" t="s">
        <v>40</v>
      </c>
      <c r="D7" t="s">
        <v>14</v>
      </c>
      <c r="E7" t="s">
        <v>41</v>
      </c>
      <c r="F7" t="s">
        <v>42</v>
      </c>
      <c r="G7">
        <v>1</v>
      </c>
      <c r="H7">
        <v>1658.95</v>
      </c>
      <c r="I7">
        <v>0</v>
      </c>
      <c r="J7">
        <v>1658.95</v>
      </c>
      <c r="K7" t="s">
        <v>24</v>
      </c>
      <c r="L7" t="s">
        <v>18</v>
      </c>
      <c r="N7" t="str">
        <f t="shared" si="0"/>
        <v>Standart</v>
      </c>
    </row>
    <row r="8" spans="1:14" x14ac:dyDescent="0.3">
      <c r="A8" t="s">
        <v>43</v>
      </c>
      <c r="B8" s="2">
        <v>45917</v>
      </c>
      <c r="C8" t="s">
        <v>44</v>
      </c>
      <c r="D8" t="s">
        <v>45</v>
      </c>
      <c r="E8" t="s">
        <v>28</v>
      </c>
      <c r="F8" t="s">
        <v>16</v>
      </c>
      <c r="G8">
        <v>2</v>
      </c>
      <c r="H8">
        <v>3013.08</v>
      </c>
      <c r="I8">
        <v>0.05</v>
      </c>
      <c r="J8">
        <v>5724.85</v>
      </c>
      <c r="K8" t="s">
        <v>17</v>
      </c>
      <c r="L8" t="s">
        <v>38</v>
      </c>
      <c r="M8">
        <f>AVERAGE(J2:J751)</f>
        <v>14094.334758713132</v>
      </c>
      <c r="N8" t="str">
        <f t="shared" si="0"/>
        <v>Standart</v>
      </c>
    </row>
    <row r="9" spans="1:14" x14ac:dyDescent="0.3">
      <c r="A9" t="s">
        <v>46</v>
      </c>
      <c r="B9" s="2">
        <v>45928</v>
      </c>
      <c r="C9" t="s">
        <v>47</v>
      </c>
      <c r="D9" t="s">
        <v>48</v>
      </c>
      <c r="E9" t="s">
        <v>49</v>
      </c>
      <c r="F9" t="s">
        <v>23</v>
      </c>
      <c r="G9">
        <v>1</v>
      </c>
      <c r="H9">
        <v>6795.45</v>
      </c>
      <c r="I9">
        <v>0.15</v>
      </c>
      <c r="J9">
        <v>5776.13</v>
      </c>
      <c r="K9" t="s">
        <v>17</v>
      </c>
      <c r="L9" t="s">
        <v>18</v>
      </c>
      <c r="N9" t="str">
        <f t="shared" si="0"/>
        <v>VIP</v>
      </c>
    </row>
    <row r="10" spans="1:14" x14ac:dyDescent="0.3">
      <c r="A10" t="s">
        <v>50</v>
      </c>
      <c r="B10" s="2">
        <v>45937</v>
      </c>
      <c r="C10" t="s">
        <v>51</v>
      </c>
      <c r="D10" t="s">
        <v>27</v>
      </c>
      <c r="E10" t="s">
        <v>52</v>
      </c>
      <c r="F10" t="s">
        <v>16</v>
      </c>
      <c r="G10">
        <v>3</v>
      </c>
      <c r="H10">
        <v>7559.54</v>
      </c>
      <c r="I10">
        <v>0.1</v>
      </c>
      <c r="J10">
        <v>20410.759999999998</v>
      </c>
      <c r="K10" t="s">
        <v>32</v>
      </c>
      <c r="L10" t="s">
        <v>29</v>
      </c>
      <c r="N10" t="str">
        <f t="shared" si="0"/>
        <v>VIP</v>
      </c>
    </row>
    <row r="11" spans="1:14" x14ac:dyDescent="0.3">
      <c r="A11" t="s">
        <v>53</v>
      </c>
      <c r="B11" s="2">
        <v>45666</v>
      </c>
      <c r="C11" t="s">
        <v>20</v>
      </c>
      <c r="D11" t="s">
        <v>27</v>
      </c>
      <c r="E11" t="s">
        <v>15</v>
      </c>
      <c r="F11" t="s">
        <v>16</v>
      </c>
      <c r="G11">
        <v>1</v>
      </c>
      <c r="H11">
        <v>18965.669999999998</v>
      </c>
      <c r="I11">
        <v>0</v>
      </c>
      <c r="J11">
        <v>18965.669999999998</v>
      </c>
      <c r="K11" t="s">
        <v>32</v>
      </c>
      <c r="L11" t="s">
        <v>18</v>
      </c>
      <c r="N11" t="str">
        <f t="shared" si="0"/>
        <v>VIP</v>
      </c>
    </row>
    <row r="12" spans="1:14" x14ac:dyDescent="0.3">
      <c r="A12" t="s">
        <v>54</v>
      </c>
      <c r="B12" s="2">
        <v>45918</v>
      </c>
      <c r="C12" t="s">
        <v>55</v>
      </c>
      <c r="D12" t="s">
        <v>21</v>
      </c>
      <c r="E12" t="s">
        <v>56</v>
      </c>
      <c r="F12" t="s">
        <v>16</v>
      </c>
      <c r="G12">
        <v>1</v>
      </c>
      <c r="H12">
        <v>29624.98</v>
      </c>
      <c r="I12">
        <v>0.1</v>
      </c>
      <c r="J12">
        <v>26662.48</v>
      </c>
      <c r="K12" t="s">
        <v>17</v>
      </c>
      <c r="L12" t="s">
        <v>38</v>
      </c>
      <c r="N12" t="str">
        <f t="shared" si="0"/>
        <v>Standart</v>
      </c>
    </row>
    <row r="13" spans="1:14" x14ac:dyDescent="0.3">
      <c r="A13" t="s">
        <v>57</v>
      </c>
      <c r="B13" s="2">
        <v>45950</v>
      </c>
      <c r="C13" t="s">
        <v>58</v>
      </c>
      <c r="D13" t="s">
        <v>21</v>
      </c>
      <c r="E13" t="s">
        <v>49</v>
      </c>
      <c r="F13" t="s">
        <v>23</v>
      </c>
      <c r="G13">
        <v>1</v>
      </c>
      <c r="H13">
        <v>6719.49</v>
      </c>
      <c r="I13">
        <v>0.05</v>
      </c>
      <c r="J13">
        <v>6383.52</v>
      </c>
      <c r="K13" t="s">
        <v>32</v>
      </c>
      <c r="L13" t="s">
        <v>18</v>
      </c>
      <c r="N13" t="str">
        <f t="shared" si="0"/>
        <v>Standart</v>
      </c>
    </row>
    <row r="14" spans="1:14" x14ac:dyDescent="0.3">
      <c r="A14" t="s">
        <v>59</v>
      </c>
      <c r="B14" s="2">
        <v>45662</v>
      </c>
      <c r="C14" t="s">
        <v>60</v>
      </c>
      <c r="D14" t="s">
        <v>61</v>
      </c>
      <c r="E14" t="s">
        <v>62</v>
      </c>
      <c r="F14" t="s">
        <v>23</v>
      </c>
      <c r="G14">
        <v>1</v>
      </c>
      <c r="H14">
        <v>1283.74</v>
      </c>
      <c r="I14">
        <v>0.2</v>
      </c>
      <c r="J14">
        <v>1026.99</v>
      </c>
      <c r="K14" t="s">
        <v>17</v>
      </c>
      <c r="L14" t="s">
        <v>18</v>
      </c>
      <c r="N14" t="str">
        <f t="shared" si="0"/>
        <v>VIP</v>
      </c>
    </row>
    <row r="15" spans="1:14" x14ac:dyDescent="0.3">
      <c r="A15" t="s">
        <v>63</v>
      </c>
      <c r="B15" s="2">
        <v>45836</v>
      </c>
      <c r="C15" t="s">
        <v>64</v>
      </c>
      <c r="D15" t="s">
        <v>61</v>
      </c>
      <c r="E15" t="s">
        <v>56</v>
      </c>
      <c r="F15" t="s">
        <v>16</v>
      </c>
      <c r="G15">
        <v>2</v>
      </c>
      <c r="H15">
        <v>27660.28</v>
      </c>
      <c r="I15">
        <v>0</v>
      </c>
      <c r="J15">
        <v>55320.56</v>
      </c>
      <c r="K15" t="s">
        <v>37</v>
      </c>
      <c r="L15" t="s">
        <v>18</v>
      </c>
      <c r="N15" t="str">
        <f t="shared" si="0"/>
        <v>Standart</v>
      </c>
    </row>
    <row r="16" spans="1:14" x14ac:dyDescent="0.3">
      <c r="A16" t="s">
        <v>65</v>
      </c>
      <c r="B16" s="2">
        <v>45828</v>
      </c>
      <c r="C16" t="s">
        <v>66</v>
      </c>
      <c r="D16" t="s">
        <v>21</v>
      </c>
      <c r="E16" t="s">
        <v>62</v>
      </c>
      <c r="F16" t="s">
        <v>23</v>
      </c>
      <c r="G16">
        <v>3</v>
      </c>
      <c r="H16">
        <v>1178.49</v>
      </c>
      <c r="I16">
        <v>0</v>
      </c>
      <c r="J16">
        <v>3535.47</v>
      </c>
      <c r="K16" t="s">
        <v>37</v>
      </c>
      <c r="L16" t="s">
        <v>18</v>
      </c>
      <c r="N16" t="str">
        <f t="shared" si="0"/>
        <v>VIP</v>
      </c>
    </row>
    <row r="17" spans="1:14" x14ac:dyDescent="0.3">
      <c r="A17" t="s">
        <v>67</v>
      </c>
      <c r="B17" s="2">
        <v>45791</v>
      </c>
      <c r="C17" t="s">
        <v>68</v>
      </c>
      <c r="D17" t="s">
        <v>21</v>
      </c>
      <c r="E17" t="s">
        <v>15</v>
      </c>
      <c r="F17" t="s">
        <v>16</v>
      </c>
      <c r="G17">
        <v>1</v>
      </c>
      <c r="H17">
        <v>22294.11</v>
      </c>
      <c r="I17">
        <v>0.15</v>
      </c>
      <c r="J17">
        <v>18949.990000000002</v>
      </c>
      <c r="K17" t="s">
        <v>32</v>
      </c>
      <c r="L17" t="s">
        <v>18</v>
      </c>
      <c r="N17" t="str">
        <f t="shared" si="0"/>
        <v>Standart</v>
      </c>
    </row>
    <row r="18" spans="1:14" x14ac:dyDescent="0.3">
      <c r="A18" t="s">
        <v>69</v>
      </c>
      <c r="B18" s="2">
        <v>45888</v>
      </c>
      <c r="C18" t="s">
        <v>31</v>
      </c>
      <c r="D18" t="s">
        <v>27</v>
      </c>
      <c r="E18" t="s">
        <v>22</v>
      </c>
      <c r="F18" t="s">
        <v>23</v>
      </c>
      <c r="G18">
        <v>2</v>
      </c>
      <c r="H18">
        <v>5611.93</v>
      </c>
      <c r="I18">
        <v>0.1</v>
      </c>
      <c r="J18">
        <v>10101.469999999999</v>
      </c>
      <c r="K18" t="s">
        <v>37</v>
      </c>
      <c r="L18" t="s">
        <v>18</v>
      </c>
      <c r="N18" t="str">
        <f t="shared" si="0"/>
        <v>Standart</v>
      </c>
    </row>
    <row r="19" spans="1:14" x14ac:dyDescent="0.3">
      <c r="A19" t="s">
        <v>70</v>
      </c>
      <c r="B19" s="2">
        <v>45794</v>
      </c>
      <c r="C19" t="s">
        <v>71</v>
      </c>
      <c r="D19" t="s">
        <v>45</v>
      </c>
      <c r="E19" t="s">
        <v>49</v>
      </c>
      <c r="F19" t="s">
        <v>23</v>
      </c>
      <c r="G19">
        <v>3</v>
      </c>
      <c r="H19">
        <v>5859.04</v>
      </c>
      <c r="I19">
        <v>0.15</v>
      </c>
      <c r="J19">
        <v>14940.55</v>
      </c>
      <c r="K19" t="s">
        <v>37</v>
      </c>
      <c r="L19" t="s">
        <v>18</v>
      </c>
      <c r="N19" t="str">
        <f t="shared" si="0"/>
        <v>VIP</v>
      </c>
    </row>
    <row r="20" spans="1:14" x14ac:dyDescent="0.3">
      <c r="A20" t="s">
        <v>72</v>
      </c>
      <c r="B20" s="2">
        <v>45890</v>
      </c>
      <c r="C20" t="s">
        <v>73</v>
      </c>
      <c r="D20" t="s">
        <v>27</v>
      </c>
      <c r="E20" t="s">
        <v>15</v>
      </c>
      <c r="F20" t="s">
        <v>16</v>
      </c>
      <c r="G20">
        <v>4</v>
      </c>
      <c r="H20">
        <v>21078.92</v>
      </c>
      <c r="I20">
        <v>0</v>
      </c>
      <c r="J20">
        <v>84315.68</v>
      </c>
      <c r="K20" t="s">
        <v>24</v>
      </c>
      <c r="L20" t="s">
        <v>38</v>
      </c>
      <c r="N20" t="str">
        <f t="shared" si="0"/>
        <v>Standart</v>
      </c>
    </row>
    <row r="21" spans="1:14" x14ac:dyDescent="0.3">
      <c r="A21" t="s">
        <v>74</v>
      </c>
      <c r="B21" s="2">
        <v>45770</v>
      </c>
      <c r="C21" t="s">
        <v>75</v>
      </c>
      <c r="D21" t="s">
        <v>27</v>
      </c>
      <c r="E21" t="s">
        <v>52</v>
      </c>
      <c r="F21" t="s">
        <v>16</v>
      </c>
      <c r="G21">
        <v>1</v>
      </c>
      <c r="H21">
        <v>7201.32</v>
      </c>
      <c r="I21">
        <v>0.05</v>
      </c>
      <c r="J21">
        <v>6841.25</v>
      </c>
      <c r="K21" t="s">
        <v>17</v>
      </c>
      <c r="L21" t="s">
        <v>29</v>
      </c>
      <c r="N21" t="str">
        <f t="shared" si="0"/>
        <v>Standart</v>
      </c>
    </row>
    <row r="22" spans="1:14" x14ac:dyDescent="0.3">
      <c r="A22" t="s">
        <v>76</v>
      </c>
      <c r="B22" s="2">
        <v>45783</v>
      </c>
      <c r="C22" t="s">
        <v>77</v>
      </c>
      <c r="D22" t="s">
        <v>45</v>
      </c>
      <c r="E22" t="s">
        <v>62</v>
      </c>
      <c r="F22" t="s">
        <v>23</v>
      </c>
      <c r="G22">
        <v>1</v>
      </c>
      <c r="H22">
        <v>1297.98</v>
      </c>
      <c r="I22">
        <v>0</v>
      </c>
      <c r="J22">
        <v>1297.98</v>
      </c>
      <c r="K22" t="s">
        <v>32</v>
      </c>
      <c r="L22" t="s">
        <v>18</v>
      </c>
      <c r="N22" t="str">
        <f t="shared" si="0"/>
        <v>Standart</v>
      </c>
    </row>
    <row r="23" spans="1:14" x14ac:dyDescent="0.3">
      <c r="A23" t="s">
        <v>78</v>
      </c>
      <c r="B23" s="2">
        <v>45912</v>
      </c>
      <c r="C23" t="s">
        <v>79</v>
      </c>
      <c r="D23" t="s">
        <v>45</v>
      </c>
      <c r="E23" t="s">
        <v>62</v>
      </c>
      <c r="F23" t="s">
        <v>23</v>
      </c>
      <c r="G23">
        <v>2</v>
      </c>
      <c r="H23">
        <v>1168.72</v>
      </c>
      <c r="I23">
        <v>0</v>
      </c>
      <c r="J23">
        <v>2337.44</v>
      </c>
      <c r="K23" t="s">
        <v>32</v>
      </c>
      <c r="L23" t="s">
        <v>38</v>
      </c>
      <c r="N23" t="str">
        <f t="shared" si="0"/>
        <v>VIP</v>
      </c>
    </row>
    <row r="24" spans="1:14" x14ac:dyDescent="0.3">
      <c r="A24" t="s">
        <v>80</v>
      </c>
      <c r="B24" s="2">
        <v>45844</v>
      </c>
      <c r="C24" t="s">
        <v>81</v>
      </c>
      <c r="D24" t="s">
        <v>45</v>
      </c>
      <c r="E24" t="s">
        <v>49</v>
      </c>
      <c r="F24" t="s">
        <v>23</v>
      </c>
      <c r="G24">
        <v>3</v>
      </c>
      <c r="H24">
        <v>6045.93</v>
      </c>
      <c r="I24">
        <v>0.1</v>
      </c>
      <c r="J24">
        <v>16324.01</v>
      </c>
      <c r="K24" t="s">
        <v>17</v>
      </c>
      <c r="L24" t="s">
        <v>29</v>
      </c>
      <c r="N24" t="str">
        <f t="shared" si="0"/>
        <v>Standart</v>
      </c>
    </row>
    <row r="25" spans="1:14" x14ac:dyDescent="0.3">
      <c r="A25" t="s">
        <v>82</v>
      </c>
      <c r="B25" s="2">
        <v>46009</v>
      </c>
      <c r="C25" t="s">
        <v>83</v>
      </c>
      <c r="D25" t="s">
        <v>21</v>
      </c>
      <c r="E25" t="s">
        <v>84</v>
      </c>
      <c r="F25" t="s">
        <v>42</v>
      </c>
      <c r="G25">
        <v>1</v>
      </c>
      <c r="H25">
        <v>2646.84</v>
      </c>
      <c r="I25">
        <v>0.05</v>
      </c>
      <c r="J25">
        <v>2514.5</v>
      </c>
      <c r="K25" t="s">
        <v>37</v>
      </c>
      <c r="L25" t="s">
        <v>29</v>
      </c>
      <c r="N25" t="str">
        <f t="shared" si="0"/>
        <v>VIP</v>
      </c>
    </row>
    <row r="26" spans="1:14" x14ac:dyDescent="0.3">
      <c r="A26" t="s">
        <v>85</v>
      </c>
      <c r="B26" s="2">
        <v>45808</v>
      </c>
      <c r="C26" t="s">
        <v>86</v>
      </c>
      <c r="D26" t="s">
        <v>48</v>
      </c>
      <c r="E26" t="s">
        <v>49</v>
      </c>
      <c r="F26" t="s">
        <v>23</v>
      </c>
      <c r="G26">
        <v>4</v>
      </c>
      <c r="H26">
        <v>6293.39</v>
      </c>
      <c r="I26">
        <v>0</v>
      </c>
      <c r="J26">
        <v>25173.56</v>
      </c>
      <c r="K26" t="s">
        <v>24</v>
      </c>
      <c r="L26" t="s">
        <v>18</v>
      </c>
      <c r="N26" t="str">
        <f t="shared" si="0"/>
        <v>Standart</v>
      </c>
    </row>
    <row r="27" spans="1:14" x14ac:dyDescent="0.3">
      <c r="A27" t="s">
        <v>87</v>
      </c>
      <c r="B27" s="2">
        <v>45659</v>
      </c>
      <c r="C27" t="s">
        <v>88</v>
      </c>
      <c r="D27" t="s">
        <v>48</v>
      </c>
      <c r="E27" t="s">
        <v>35</v>
      </c>
      <c r="F27" t="s">
        <v>36</v>
      </c>
      <c r="G27">
        <v>3</v>
      </c>
      <c r="H27">
        <v>1810.67</v>
      </c>
      <c r="I27">
        <v>0.05</v>
      </c>
      <c r="J27">
        <v>5160.41</v>
      </c>
      <c r="K27" t="s">
        <v>32</v>
      </c>
      <c r="L27" t="s">
        <v>29</v>
      </c>
      <c r="N27" t="str">
        <f t="shared" si="0"/>
        <v>Standart</v>
      </c>
    </row>
    <row r="28" spans="1:14" x14ac:dyDescent="0.3">
      <c r="A28" t="s">
        <v>89</v>
      </c>
      <c r="B28" s="2">
        <v>45865</v>
      </c>
      <c r="C28" t="s">
        <v>90</v>
      </c>
      <c r="D28" t="s">
        <v>21</v>
      </c>
      <c r="E28" t="s">
        <v>22</v>
      </c>
      <c r="F28" t="s">
        <v>23</v>
      </c>
      <c r="G28">
        <v>1</v>
      </c>
      <c r="H28">
        <v>5408.37</v>
      </c>
      <c r="I28">
        <v>0</v>
      </c>
      <c r="J28">
        <v>5408.37</v>
      </c>
      <c r="K28" t="s">
        <v>32</v>
      </c>
      <c r="L28" t="s">
        <v>18</v>
      </c>
      <c r="N28" t="str">
        <f t="shared" si="0"/>
        <v>Standart</v>
      </c>
    </row>
    <row r="29" spans="1:14" x14ac:dyDescent="0.3">
      <c r="A29" t="s">
        <v>91</v>
      </c>
      <c r="B29" s="2">
        <v>45761</v>
      </c>
      <c r="C29" t="s">
        <v>92</v>
      </c>
      <c r="D29" t="s">
        <v>48</v>
      </c>
      <c r="E29" t="s">
        <v>22</v>
      </c>
      <c r="F29" t="s">
        <v>23</v>
      </c>
      <c r="G29">
        <v>3</v>
      </c>
      <c r="H29">
        <v>5496.75</v>
      </c>
      <c r="I29">
        <v>0.15</v>
      </c>
      <c r="J29">
        <v>14016.71</v>
      </c>
      <c r="K29" t="s">
        <v>17</v>
      </c>
      <c r="L29" t="s">
        <v>18</v>
      </c>
      <c r="N29" t="str">
        <f t="shared" si="0"/>
        <v>VIP</v>
      </c>
    </row>
    <row r="30" spans="1:14" x14ac:dyDescent="0.3">
      <c r="A30" t="s">
        <v>93</v>
      </c>
      <c r="B30" s="2">
        <v>45851</v>
      </c>
      <c r="C30" t="s">
        <v>44</v>
      </c>
      <c r="D30" t="s">
        <v>14</v>
      </c>
      <c r="E30" t="s">
        <v>52</v>
      </c>
      <c r="F30" t="s">
        <v>16</v>
      </c>
      <c r="G30">
        <v>5</v>
      </c>
      <c r="H30">
        <v>7208.05</v>
      </c>
      <c r="I30">
        <v>0</v>
      </c>
      <c r="J30">
        <v>36040.25</v>
      </c>
      <c r="K30" t="s">
        <v>32</v>
      </c>
      <c r="L30" t="s">
        <v>38</v>
      </c>
      <c r="N30" t="str">
        <f t="shared" si="0"/>
        <v>Standart</v>
      </c>
    </row>
    <row r="31" spans="1:14" x14ac:dyDescent="0.3">
      <c r="A31" t="s">
        <v>94</v>
      </c>
      <c r="B31" s="2">
        <v>45792</v>
      </c>
      <c r="C31" t="s">
        <v>95</v>
      </c>
      <c r="D31" t="s">
        <v>27</v>
      </c>
      <c r="E31" t="s">
        <v>28</v>
      </c>
      <c r="F31" t="s">
        <v>16</v>
      </c>
      <c r="G31">
        <v>1</v>
      </c>
      <c r="H31">
        <v>2994.45</v>
      </c>
      <c r="I31">
        <v>0.05</v>
      </c>
      <c r="J31">
        <v>2844.73</v>
      </c>
      <c r="K31" t="s">
        <v>32</v>
      </c>
      <c r="L31" t="s">
        <v>29</v>
      </c>
      <c r="N31" t="str">
        <f t="shared" si="0"/>
        <v>VIP</v>
      </c>
    </row>
    <row r="32" spans="1:14" x14ac:dyDescent="0.3">
      <c r="A32" t="s">
        <v>96</v>
      </c>
      <c r="B32" s="2">
        <v>45695</v>
      </c>
      <c r="C32" t="s">
        <v>97</v>
      </c>
      <c r="D32" t="s">
        <v>14</v>
      </c>
      <c r="E32" t="s">
        <v>56</v>
      </c>
      <c r="F32" t="s">
        <v>16</v>
      </c>
      <c r="G32">
        <v>1</v>
      </c>
      <c r="H32">
        <v>26566.34</v>
      </c>
      <c r="I32">
        <v>0</v>
      </c>
      <c r="J32">
        <v>26566.34</v>
      </c>
      <c r="K32" t="s">
        <v>24</v>
      </c>
      <c r="L32" t="s">
        <v>38</v>
      </c>
      <c r="N32" t="str">
        <f t="shared" si="0"/>
        <v>Standart</v>
      </c>
    </row>
    <row r="33" spans="1:14" x14ac:dyDescent="0.3">
      <c r="A33" t="s">
        <v>98</v>
      </c>
      <c r="B33" s="2">
        <v>45974</v>
      </c>
      <c r="C33" t="s">
        <v>99</v>
      </c>
      <c r="D33" t="s">
        <v>14</v>
      </c>
      <c r="E33" t="s">
        <v>49</v>
      </c>
      <c r="F33" t="s">
        <v>23</v>
      </c>
      <c r="G33">
        <v>1</v>
      </c>
      <c r="H33">
        <v>6719.6</v>
      </c>
      <c r="I33">
        <v>0.1</v>
      </c>
      <c r="J33">
        <v>6047.64</v>
      </c>
      <c r="K33" t="s">
        <v>32</v>
      </c>
      <c r="L33" t="s">
        <v>18</v>
      </c>
      <c r="N33" t="str">
        <f t="shared" si="0"/>
        <v>Standart</v>
      </c>
    </row>
    <row r="34" spans="1:14" x14ac:dyDescent="0.3">
      <c r="A34" t="s">
        <v>100</v>
      </c>
      <c r="B34" s="2">
        <v>45663</v>
      </c>
      <c r="C34" t="s">
        <v>58</v>
      </c>
      <c r="D34" t="s">
        <v>21</v>
      </c>
      <c r="E34" t="s">
        <v>35</v>
      </c>
      <c r="F34" t="s">
        <v>36</v>
      </c>
      <c r="G34">
        <v>1</v>
      </c>
      <c r="H34">
        <v>1963.41</v>
      </c>
      <c r="I34">
        <v>0.15</v>
      </c>
      <c r="J34">
        <v>1668.9</v>
      </c>
      <c r="K34" t="s">
        <v>37</v>
      </c>
      <c r="L34" t="s">
        <v>38</v>
      </c>
      <c r="N34" t="str">
        <f t="shared" si="0"/>
        <v>VIP</v>
      </c>
    </row>
    <row r="35" spans="1:14" x14ac:dyDescent="0.3">
      <c r="A35" t="s">
        <v>101</v>
      </c>
      <c r="B35" s="2">
        <v>45773</v>
      </c>
      <c r="C35" t="s">
        <v>102</v>
      </c>
      <c r="D35" t="s">
        <v>45</v>
      </c>
      <c r="E35" t="s">
        <v>15</v>
      </c>
      <c r="F35" t="s">
        <v>16</v>
      </c>
      <c r="G35">
        <v>2</v>
      </c>
      <c r="H35">
        <v>23017.39</v>
      </c>
      <c r="I35">
        <v>0.05</v>
      </c>
      <c r="J35">
        <v>43733.04</v>
      </c>
      <c r="K35" t="s">
        <v>37</v>
      </c>
      <c r="L35" t="s">
        <v>18</v>
      </c>
      <c r="N35" t="str">
        <f t="shared" si="0"/>
        <v>VIP</v>
      </c>
    </row>
    <row r="36" spans="1:14" x14ac:dyDescent="0.3">
      <c r="A36" t="s">
        <v>103</v>
      </c>
      <c r="B36" s="2">
        <v>45711</v>
      </c>
      <c r="C36" t="s">
        <v>104</v>
      </c>
      <c r="D36" t="s">
        <v>14</v>
      </c>
      <c r="E36" t="s">
        <v>15</v>
      </c>
      <c r="F36" t="s">
        <v>16</v>
      </c>
      <c r="G36">
        <v>1</v>
      </c>
      <c r="H36">
        <v>20557.7</v>
      </c>
      <c r="I36">
        <v>0.05</v>
      </c>
      <c r="J36">
        <v>19529.810000000001</v>
      </c>
      <c r="K36" t="s">
        <v>32</v>
      </c>
      <c r="L36" t="s">
        <v>18</v>
      </c>
      <c r="N36" t="str">
        <f t="shared" si="0"/>
        <v>Standart</v>
      </c>
    </row>
    <row r="37" spans="1:14" x14ac:dyDescent="0.3">
      <c r="A37" t="s">
        <v>105</v>
      </c>
      <c r="B37" s="2">
        <v>45930</v>
      </c>
      <c r="C37" t="s">
        <v>106</v>
      </c>
      <c r="D37" t="s">
        <v>27</v>
      </c>
      <c r="E37" t="s">
        <v>28</v>
      </c>
      <c r="F37" t="s">
        <v>16</v>
      </c>
      <c r="G37">
        <v>2</v>
      </c>
      <c r="H37">
        <v>3042.66</v>
      </c>
      <c r="I37">
        <v>0.05</v>
      </c>
      <c r="J37">
        <v>5781.05</v>
      </c>
      <c r="K37" t="s">
        <v>37</v>
      </c>
      <c r="L37" t="s">
        <v>29</v>
      </c>
      <c r="N37" t="str">
        <f t="shared" si="0"/>
        <v>VIP</v>
      </c>
    </row>
    <row r="38" spans="1:14" x14ac:dyDescent="0.3">
      <c r="A38" t="s">
        <v>107</v>
      </c>
      <c r="B38" s="2">
        <v>45670</v>
      </c>
      <c r="C38" t="s">
        <v>108</v>
      </c>
      <c r="D38" t="s">
        <v>109</v>
      </c>
      <c r="E38" t="s">
        <v>15</v>
      </c>
      <c r="F38" t="s">
        <v>16</v>
      </c>
      <c r="G38">
        <v>1</v>
      </c>
      <c r="H38">
        <v>22302.48</v>
      </c>
      <c r="I38">
        <v>0.1</v>
      </c>
      <c r="J38">
        <v>20072.23</v>
      </c>
      <c r="K38" t="s">
        <v>17</v>
      </c>
      <c r="L38" t="s">
        <v>18</v>
      </c>
      <c r="N38" t="str">
        <f t="shared" si="0"/>
        <v>Standart</v>
      </c>
    </row>
    <row r="39" spans="1:14" x14ac:dyDescent="0.3">
      <c r="A39" t="s">
        <v>110</v>
      </c>
      <c r="B39" s="2">
        <v>45800</v>
      </c>
      <c r="C39" t="s">
        <v>111</v>
      </c>
      <c r="D39" t="s">
        <v>109</v>
      </c>
      <c r="E39" t="s">
        <v>41</v>
      </c>
      <c r="F39" t="s">
        <v>42</v>
      </c>
      <c r="G39">
        <v>2</v>
      </c>
      <c r="H39">
        <v>1694.65</v>
      </c>
      <c r="I39">
        <v>0.1</v>
      </c>
      <c r="J39">
        <v>3050.37</v>
      </c>
      <c r="K39" t="s">
        <v>24</v>
      </c>
      <c r="L39" t="s">
        <v>18</v>
      </c>
      <c r="N39" t="str">
        <f t="shared" si="0"/>
        <v>Standart</v>
      </c>
    </row>
    <row r="40" spans="1:14" x14ac:dyDescent="0.3">
      <c r="A40" t="s">
        <v>112</v>
      </c>
      <c r="B40" s="2">
        <v>45807</v>
      </c>
      <c r="C40" t="s">
        <v>104</v>
      </c>
      <c r="D40" t="s">
        <v>109</v>
      </c>
      <c r="E40" t="s">
        <v>84</v>
      </c>
      <c r="F40" t="s">
        <v>42</v>
      </c>
      <c r="G40">
        <v>1</v>
      </c>
      <c r="H40">
        <v>3069.83</v>
      </c>
      <c r="I40">
        <v>0</v>
      </c>
      <c r="J40">
        <v>3069.83</v>
      </c>
      <c r="K40" t="s">
        <v>24</v>
      </c>
      <c r="L40" t="s">
        <v>18</v>
      </c>
      <c r="N40" t="str">
        <f t="shared" si="0"/>
        <v>VIP</v>
      </c>
    </row>
    <row r="41" spans="1:14" x14ac:dyDescent="0.3">
      <c r="A41" t="s">
        <v>113</v>
      </c>
      <c r="B41" s="2">
        <v>45921</v>
      </c>
      <c r="C41" t="s">
        <v>114</v>
      </c>
      <c r="D41" t="s">
        <v>21</v>
      </c>
      <c r="E41" t="s">
        <v>56</v>
      </c>
      <c r="F41" t="s">
        <v>16</v>
      </c>
      <c r="G41">
        <v>1</v>
      </c>
      <c r="H41">
        <v>27029.25</v>
      </c>
      <c r="I41">
        <v>0.05</v>
      </c>
      <c r="J41">
        <v>25677.79</v>
      </c>
      <c r="K41" t="s">
        <v>32</v>
      </c>
      <c r="L41" t="s">
        <v>38</v>
      </c>
      <c r="N41" t="str">
        <f t="shared" si="0"/>
        <v>VIP</v>
      </c>
    </row>
    <row r="42" spans="1:14" x14ac:dyDescent="0.3">
      <c r="A42" t="s">
        <v>115</v>
      </c>
      <c r="B42" s="2">
        <v>46012</v>
      </c>
      <c r="C42" t="s">
        <v>116</v>
      </c>
      <c r="D42" t="s">
        <v>21</v>
      </c>
      <c r="E42" t="s">
        <v>49</v>
      </c>
      <c r="F42" t="s">
        <v>23</v>
      </c>
      <c r="G42">
        <v>3</v>
      </c>
      <c r="H42">
        <v>6384.76</v>
      </c>
      <c r="I42">
        <v>0</v>
      </c>
      <c r="J42">
        <v>19154.28</v>
      </c>
      <c r="K42" t="s">
        <v>32</v>
      </c>
      <c r="L42" t="s">
        <v>38</v>
      </c>
      <c r="N42" t="str">
        <f t="shared" si="0"/>
        <v>Standart</v>
      </c>
    </row>
    <row r="43" spans="1:14" x14ac:dyDescent="0.3">
      <c r="A43" t="s">
        <v>117</v>
      </c>
      <c r="B43" s="2">
        <v>45749</v>
      </c>
      <c r="C43" t="s">
        <v>104</v>
      </c>
      <c r="D43" t="s">
        <v>61</v>
      </c>
      <c r="E43" t="s">
        <v>62</v>
      </c>
      <c r="F43" t="s">
        <v>23</v>
      </c>
      <c r="G43">
        <v>1</v>
      </c>
      <c r="H43">
        <v>1145</v>
      </c>
      <c r="I43">
        <v>0.1</v>
      </c>
      <c r="J43">
        <v>1030.5</v>
      </c>
      <c r="K43" t="s">
        <v>24</v>
      </c>
      <c r="L43" t="s">
        <v>18</v>
      </c>
      <c r="N43" t="str">
        <f t="shared" si="0"/>
        <v>VIP</v>
      </c>
    </row>
    <row r="44" spans="1:14" x14ac:dyDescent="0.3">
      <c r="A44" t="s">
        <v>118</v>
      </c>
      <c r="B44" s="2">
        <v>45715</v>
      </c>
      <c r="C44" t="s">
        <v>13</v>
      </c>
      <c r="D44" t="s">
        <v>27</v>
      </c>
      <c r="E44" t="s">
        <v>52</v>
      </c>
      <c r="F44" t="s">
        <v>16</v>
      </c>
      <c r="G44">
        <v>3</v>
      </c>
      <c r="H44">
        <v>7363.43</v>
      </c>
      <c r="I44">
        <v>0.1</v>
      </c>
      <c r="J44">
        <v>19881.259999999998</v>
      </c>
      <c r="K44" t="s">
        <v>17</v>
      </c>
      <c r="L44" t="s">
        <v>18</v>
      </c>
      <c r="N44" t="str">
        <f t="shared" si="0"/>
        <v>Standart</v>
      </c>
    </row>
    <row r="45" spans="1:14" x14ac:dyDescent="0.3">
      <c r="A45" t="s">
        <v>119</v>
      </c>
      <c r="B45" s="2">
        <v>45929</v>
      </c>
      <c r="C45" t="s">
        <v>120</v>
      </c>
      <c r="D45" t="s">
        <v>61</v>
      </c>
      <c r="E45" t="s">
        <v>62</v>
      </c>
      <c r="F45" t="s">
        <v>23</v>
      </c>
      <c r="G45">
        <v>2</v>
      </c>
      <c r="H45">
        <v>1147.18</v>
      </c>
      <c r="I45">
        <v>0.1</v>
      </c>
      <c r="J45">
        <v>2064.92</v>
      </c>
      <c r="K45" t="s">
        <v>32</v>
      </c>
      <c r="L45" t="s">
        <v>29</v>
      </c>
      <c r="N45" t="str">
        <f t="shared" si="0"/>
        <v>Standart</v>
      </c>
    </row>
    <row r="46" spans="1:14" x14ac:dyDescent="0.3">
      <c r="A46" t="s">
        <v>121</v>
      </c>
      <c r="B46" s="2">
        <v>45743</v>
      </c>
      <c r="C46" t="s">
        <v>122</v>
      </c>
      <c r="D46" t="s">
        <v>45</v>
      </c>
      <c r="E46" t="s">
        <v>35</v>
      </c>
      <c r="F46" t="s">
        <v>36</v>
      </c>
      <c r="G46">
        <v>1</v>
      </c>
      <c r="H46">
        <v>1748.15</v>
      </c>
      <c r="I46">
        <v>0</v>
      </c>
      <c r="J46">
        <v>1748.15</v>
      </c>
      <c r="K46" t="s">
        <v>24</v>
      </c>
      <c r="L46" t="s">
        <v>18</v>
      </c>
      <c r="N46" t="str">
        <f t="shared" si="0"/>
        <v>VIP</v>
      </c>
    </row>
    <row r="47" spans="1:14" x14ac:dyDescent="0.3">
      <c r="A47" t="s">
        <v>123</v>
      </c>
      <c r="B47" s="2">
        <v>45875</v>
      </c>
      <c r="C47" t="s">
        <v>60</v>
      </c>
      <c r="D47" t="s">
        <v>45</v>
      </c>
      <c r="E47" t="s">
        <v>56</v>
      </c>
      <c r="F47" t="s">
        <v>16</v>
      </c>
      <c r="G47">
        <v>1</v>
      </c>
      <c r="H47">
        <v>26181.85</v>
      </c>
      <c r="I47">
        <v>0.2</v>
      </c>
      <c r="J47">
        <v>20945.48</v>
      </c>
      <c r="K47" t="s">
        <v>17</v>
      </c>
      <c r="L47" t="s">
        <v>18</v>
      </c>
      <c r="N47" t="str">
        <f t="shared" si="0"/>
        <v>Standart</v>
      </c>
    </row>
    <row r="48" spans="1:14" x14ac:dyDescent="0.3">
      <c r="A48" t="s">
        <v>124</v>
      </c>
      <c r="B48" s="2">
        <v>45757</v>
      </c>
      <c r="C48" t="s">
        <v>125</v>
      </c>
      <c r="D48" t="s">
        <v>21</v>
      </c>
      <c r="E48" t="s">
        <v>49</v>
      </c>
      <c r="F48" t="s">
        <v>23</v>
      </c>
      <c r="G48">
        <v>2</v>
      </c>
      <c r="H48">
        <v>7083.89</v>
      </c>
      <c r="I48">
        <v>0</v>
      </c>
      <c r="J48">
        <v>14167.78</v>
      </c>
      <c r="K48" t="s">
        <v>17</v>
      </c>
      <c r="L48" t="s">
        <v>18</v>
      </c>
      <c r="N48" t="str">
        <f t="shared" si="0"/>
        <v>Standart</v>
      </c>
    </row>
    <row r="49" spans="1:14" x14ac:dyDescent="0.3">
      <c r="A49" t="s">
        <v>126</v>
      </c>
      <c r="B49" s="2">
        <v>45673</v>
      </c>
      <c r="C49" t="s">
        <v>127</v>
      </c>
      <c r="D49" t="s">
        <v>61</v>
      </c>
      <c r="E49" t="s">
        <v>52</v>
      </c>
      <c r="F49" t="s">
        <v>16</v>
      </c>
      <c r="G49">
        <v>2</v>
      </c>
      <c r="H49">
        <v>7775.95</v>
      </c>
      <c r="I49">
        <v>0.05</v>
      </c>
      <c r="J49">
        <v>14774.3</v>
      </c>
      <c r="K49" t="s">
        <v>24</v>
      </c>
      <c r="L49" t="s">
        <v>18</v>
      </c>
      <c r="N49" t="str">
        <f t="shared" si="0"/>
        <v>Standart</v>
      </c>
    </row>
    <row r="50" spans="1:14" x14ac:dyDescent="0.3">
      <c r="A50" t="s">
        <v>128</v>
      </c>
      <c r="B50" s="2">
        <v>45690</v>
      </c>
      <c r="C50" t="s">
        <v>129</v>
      </c>
      <c r="D50" t="s">
        <v>45</v>
      </c>
      <c r="E50" t="s">
        <v>35</v>
      </c>
      <c r="F50" t="s">
        <v>36</v>
      </c>
      <c r="G50">
        <v>4</v>
      </c>
      <c r="H50">
        <v>1759.74</v>
      </c>
      <c r="I50">
        <v>0.05</v>
      </c>
      <c r="J50">
        <v>6687.01</v>
      </c>
      <c r="K50" t="s">
        <v>17</v>
      </c>
      <c r="L50" t="s">
        <v>38</v>
      </c>
      <c r="N50" t="str">
        <f t="shared" si="0"/>
        <v>Standart</v>
      </c>
    </row>
    <row r="51" spans="1:14" x14ac:dyDescent="0.3">
      <c r="A51" t="s">
        <v>130</v>
      </c>
      <c r="B51" s="2">
        <v>45942</v>
      </c>
      <c r="C51" t="s">
        <v>131</v>
      </c>
      <c r="D51" t="s">
        <v>21</v>
      </c>
      <c r="F51" t="s">
        <v>36</v>
      </c>
      <c r="G51">
        <v>3</v>
      </c>
      <c r="H51">
        <v>1694.41</v>
      </c>
      <c r="I51">
        <v>0.1</v>
      </c>
      <c r="J51">
        <v>4574.91</v>
      </c>
      <c r="K51" t="s">
        <v>17</v>
      </c>
      <c r="L51" t="s">
        <v>18</v>
      </c>
      <c r="N51" t="str">
        <f t="shared" si="0"/>
        <v>VIP</v>
      </c>
    </row>
    <row r="52" spans="1:14" x14ac:dyDescent="0.3">
      <c r="A52" t="s">
        <v>132</v>
      </c>
      <c r="B52" s="2">
        <v>45750</v>
      </c>
      <c r="C52" t="s">
        <v>51</v>
      </c>
      <c r="D52" t="s">
        <v>109</v>
      </c>
      <c r="E52" t="s">
        <v>56</v>
      </c>
      <c r="F52" t="s">
        <v>16</v>
      </c>
      <c r="G52">
        <v>2</v>
      </c>
      <c r="H52">
        <v>28872.05</v>
      </c>
      <c r="I52">
        <v>0</v>
      </c>
      <c r="J52">
        <v>57744.1</v>
      </c>
      <c r="K52" t="s">
        <v>24</v>
      </c>
      <c r="L52" t="s">
        <v>18</v>
      </c>
      <c r="N52" t="str">
        <f t="shared" si="0"/>
        <v>VIP</v>
      </c>
    </row>
    <row r="53" spans="1:14" x14ac:dyDescent="0.3">
      <c r="A53" t="s">
        <v>133</v>
      </c>
      <c r="B53" s="2">
        <v>45732</v>
      </c>
      <c r="C53" t="s">
        <v>134</v>
      </c>
      <c r="D53" t="s">
        <v>21</v>
      </c>
      <c r="E53" t="s">
        <v>15</v>
      </c>
      <c r="F53" t="s">
        <v>16</v>
      </c>
      <c r="G53">
        <v>1</v>
      </c>
      <c r="H53">
        <v>20363.009999999998</v>
      </c>
      <c r="I53">
        <v>0.1</v>
      </c>
      <c r="J53">
        <v>18326.71</v>
      </c>
      <c r="K53" t="s">
        <v>37</v>
      </c>
      <c r="L53" t="s">
        <v>38</v>
      </c>
      <c r="N53" t="str">
        <f t="shared" si="0"/>
        <v>VIP</v>
      </c>
    </row>
    <row r="54" spans="1:14" x14ac:dyDescent="0.3">
      <c r="A54" t="s">
        <v>135</v>
      </c>
      <c r="B54" s="2">
        <v>45834</v>
      </c>
      <c r="C54" t="s">
        <v>58</v>
      </c>
      <c r="D54" t="s">
        <v>21</v>
      </c>
      <c r="E54" t="s">
        <v>15</v>
      </c>
      <c r="F54" t="s">
        <v>16</v>
      </c>
      <c r="G54">
        <v>1</v>
      </c>
      <c r="H54">
        <v>22288.71</v>
      </c>
      <c r="I54">
        <v>0.1</v>
      </c>
      <c r="J54">
        <v>20059.84</v>
      </c>
      <c r="K54" t="s">
        <v>24</v>
      </c>
      <c r="L54" t="s">
        <v>18</v>
      </c>
      <c r="N54" t="str">
        <f t="shared" si="0"/>
        <v>Standart</v>
      </c>
    </row>
    <row r="55" spans="1:14" x14ac:dyDescent="0.3">
      <c r="A55" t="s">
        <v>136</v>
      </c>
      <c r="B55" s="2">
        <v>45840</v>
      </c>
      <c r="C55" t="s">
        <v>137</v>
      </c>
      <c r="D55" t="s">
        <v>61</v>
      </c>
      <c r="E55" t="s">
        <v>35</v>
      </c>
      <c r="F55" t="s">
        <v>36</v>
      </c>
      <c r="G55">
        <v>3</v>
      </c>
      <c r="H55">
        <v>1705.89</v>
      </c>
      <c r="I55">
        <v>0.05</v>
      </c>
      <c r="J55">
        <v>4861.79</v>
      </c>
      <c r="K55" t="s">
        <v>37</v>
      </c>
      <c r="L55" t="s">
        <v>18</v>
      </c>
      <c r="N55" t="str">
        <f t="shared" si="0"/>
        <v>VIP</v>
      </c>
    </row>
    <row r="56" spans="1:14" x14ac:dyDescent="0.3">
      <c r="A56" t="s">
        <v>138</v>
      </c>
      <c r="B56" s="2">
        <v>45844</v>
      </c>
      <c r="C56" t="s">
        <v>139</v>
      </c>
      <c r="D56" t="s">
        <v>27</v>
      </c>
      <c r="E56" t="s">
        <v>15</v>
      </c>
      <c r="F56" t="s">
        <v>16</v>
      </c>
      <c r="G56">
        <v>2</v>
      </c>
      <c r="H56">
        <v>20536.400000000001</v>
      </c>
      <c r="I56">
        <v>0.05</v>
      </c>
      <c r="J56">
        <v>39019.160000000003</v>
      </c>
      <c r="K56" t="s">
        <v>32</v>
      </c>
      <c r="L56" t="s">
        <v>18</v>
      </c>
      <c r="N56" t="str">
        <f t="shared" si="0"/>
        <v>Standart</v>
      </c>
    </row>
    <row r="57" spans="1:14" x14ac:dyDescent="0.3">
      <c r="A57" t="s">
        <v>140</v>
      </c>
      <c r="B57" s="2">
        <v>45709</v>
      </c>
      <c r="C57" t="s">
        <v>141</v>
      </c>
      <c r="D57" t="s">
        <v>109</v>
      </c>
      <c r="E57" t="s">
        <v>22</v>
      </c>
      <c r="F57" t="s">
        <v>23</v>
      </c>
      <c r="G57">
        <v>1</v>
      </c>
      <c r="H57">
        <v>5668.06</v>
      </c>
      <c r="I57">
        <v>0</v>
      </c>
      <c r="J57">
        <v>5668.06</v>
      </c>
      <c r="K57" t="s">
        <v>17</v>
      </c>
      <c r="L57" t="s">
        <v>18</v>
      </c>
      <c r="N57" t="str">
        <f t="shared" si="0"/>
        <v>VIP</v>
      </c>
    </row>
    <row r="58" spans="1:14" x14ac:dyDescent="0.3">
      <c r="A58" t="s">
        <v>142</v>
      </c>
      <c r="B58" s="2">
        <v>45710</v>
      </c>
      <c r="C58" t="s">
        <v>143</v>
      </c>
      <c r="D58" t="s">
        <v>27</v>
      </c>
      <c r="E58" t="s">
        <v>56</v>
      </c>
      <c r="F58" t="s">
        <v>16</v>
      </c>
      <c r="G58">
        <v>2</v>
      </c>
      <c r="H58">
        <v>26391.279999999999</v>
      </c>
      <c r="I58">
        <v>0.05</v>
      </c>
      <c r="J58">
        <v>50143.43</v>
      </c>
      <c r="K58" t="s">
        <v>17</v>
      </c>
      <c r="L58" t="s">
        <v>18</v>
      </c>
      <c r="N58" t="str">
        <f t="shared" si="0"/>
        <v>Standart</v>
      </c>
    </row>
    <row r="59" spans="1:14" x14ac:dyDescent="0.3">
      <c r="A59" t="s">
        <v>144</v>
      </c>
      <c r="B59" s="2">
        <v>45872</v>
      </c>
      <c r="C59" t="s">
        <v>145</v>
      </c>
      <c r="D59" t="s">
        <v>109</v>
      </c>
      <c r="E59" t="s">
        <v>62</v>
      </c>
      <c r="F59" t="s">
        <v>23</v>
      </c>
      <c r="G59">
        <v>1</v>
      </c>
      <c r="H59">
        <v>1185.97</v>
      </c>
      <c r="I59">
        <v>0.05</v>
      </c>
      <c r="J59">
        <v>1126.67</v>
      </c>
      <c r="K59" t="s">
        <v>17</v>
      </c>
      <c r="L59" t="s">
        <v>18</v>
      </c>
      <c r="N59" t="str">
        <f t="shared" si="0"/>
        <v>Standart</v>
      </c>
    </row>
    <row r="60" spans="1:14" x14ac:dyDescent="0.3">
      <c r="A60" t="s">
        <v>146</v>
      </c>
      <c r="B60" s="2">
        <v>45798</v>
      </c>
      <c r="C60" t="s">
        <v>147</v>
      </c>
      <c r="D60" t="s">
        <v>109</v>
      </c>
      <c r="E60" t="s">
        <v>41</v>
      </c>
      <c r="F60" t="s">
        <v>42</v>
      </c>
      <c r="G60">
        <v>2</v>
      </c>
      <c r="H60">
        <v>1466.91</v>
      </c>
      <c r="I60">
        <v>0</v>
      </c>
      <c r="J60">
        <v>2933.82</v>
      </c>
      <c r="K60" t="s">
        <v>37</v>
      </c>
      <c r="L60" t="s">
        <v>38</v>
      </c>
      <c r="N60" t="str">
        <f t="shared" si="0"/>
        <v>Standart</v>
      </c>
    </row>
    <row r="61" spans="1:14" x14ac:dyDescent="0.3">
      <c r="A61" t="s">
        <v>148</v>
      </c>
      <c r="B61" s="2">
        <v>46022</v>
      </c>
      <c r="C61" t="s">
        <v>149</v>
      </c>
      <c r="D61" t="s">
        <v>48</v>
      </c>
      <c r="E61" t="s">
        <v>84</v>
      </c>
      <c r="F61" t="s">
        <v>42</v>
      </c>
      <c r="G61">
        <v>1</v>
      </c>
      <c r="H61">
        <v>3072.52</v>
      </c>
      <c r="I61">
        <v>0</v>
      </c>
      <c r="J61">
        <v>3072.52</v>
      </c>
      <c r="K61" t="s">
        <v>32</v>
      </c>
      <c r="L61" t="s">
        <v>18</v>
      </c>
      <c r="N61" t="str">
        <f t="shared" si="0"/>
        <v>Standart</v>
      </c>
    </row>
    <row r="62" spans="1:14" x14ac:dyDescent="0.3">
      <c r="A62" t="s">
        <v>150</v>
      </c>
      <c r="B62" s="2">
        <v>45932</v>
      </c>
      <c r="C62" t="s">
        <v>120</v>
      </c>
      <c r="D62" t="s">
        <v>21</v>
      </c>
      <c r="E62" t="s">
        <v>22</v>
      </c>
      <c r="F62" t="s">
        <v>23</v>
      </c>
      <c r="G62">
        <v>2</v>
      </c>
      <c r="H62">
        <v>5416.51</v>
      </c>
      <c r="I62">
        <v>0.05</v>
      </c>
      <c r="J62">
        <v>10291.370000000001</v>
      </c>
      <c r="K62" t="s">
        <v>24</v>
      </c>
      <c r="L62" t="s">
        <v>29</v>
      </c>
      <c r="N62" t="str">
        <f t="shared" si="0"/>
        <v>Standart</v>
      </c>
    </row>
    <row r="63" spans="1:14" x14ac:dyDescent="0.3">
      <c r="A63" t="s">
        <v>151</v>
      </c>
      <c r="B63" s="2">
        <v>45899</v>
      </c>
      <c r="C63" t="s">
        <v>152</v>
      </c>
      <c r="D63" t="s">
        <v>48</v>
      </c>
      <c r="E63" t="s">
        <v>28</v>
      </c>
      <c r="F63" t="s">
        <v>16</v>
      </c>
      <c r="G63">
        <v>1</v>
      </c>
      <c r="H63">
        <v>3042.36</v>
      </c>
      <c r="I63">
        <v>0.05</v>
      </c>
      <c r="J63">
        <v>2890.24</v>
      </c>
      <c r="K63" t="s">
        <v>24</v>
      </c>
      <c r="L63" t="s">
        <v>29</v>
      </c>
      <c r="N63" t="str">
        <f t="shared" si="0"/>
        <v>Standart</v>
      </c>
    </row>
    <row r="64" spans="1:14" x14ac:dyDescent="0.3">
      <c r="A64" t="s">
        <v>153</v>
      </c>
      <c r="B64" s="2">
        <v>46005</v>
      </c>
      <c r="C64" t="s">
        <v>31</v>
      </c>
      <c r="D64" t="s">
        <v>27</v>
      </c>
      <c r="E64" t="s">
        <v>41</v>
      </c>
      <c r="F64" t="s">
        <v>42</v>
      </c>
      <c r="G64">
        <v>3</v>
      </c>
      <c r="H64">
        <v>1657.93</v>
      </c>
      <c r="I64">
        <v>0.1</v>
      </c>
      <c r="J64">
        <v>4476.41</v>
      </c>
      <c r="K64" t="s">
        <v>17</v>
      </c>
      <c r="L64" t="s">
        <v>18</v>
      </c>
      <c r="N64" t="str">
        <f t="shared" si="0"/>
        <v>VIP</v>
      </c>
    </row>
    <row r="65" spans="1:14" x14ac:dyDescent="0.3">
      <c r="A65" t="s">
        <v>154</v>
      </c>
      <c r="B65" s="2">
        <v>45830</v>
      </c>
      <c r="C65" t="s">
        <v>155</v>
      </c>
      <c r="D65" t="s">
        <v>45</v>
      </c>
      <c r="E65" t="s">
        <v>56</v>
      </c>
      <c r="F65" t="s">
        <v>16</v>
      </c>
      <c r="G65">
        <v>2</v>
      </c>
      <c r="H65">
        <v>29691.81</v>
      </c>
      <c r="I65">
        <v>0.05</v>
      </c>
      <c r="J65">
        <v>56414.44</v>
      </c>
      <c r="K65" t="s">
        <v>37</v>
      </c>
      <c r="L65" t="s">
        <v>18</v>
      </c>
      <c r="N65" t="str">
        <f t="shared" si="0"/>
        <v>VIP</v>
      </c>
    </row>
    <row r="66" spans="1:14" x14ac:dyDescent="0.3">
      <c r="A66" t="s">
        <v>156</v>
      </c>
      <c r="B66" s="2">
        <v>45804</v>
      </c>
      <c r="C66" t="s">
        <v>157</v>
      </c>
      <c r="D66" t="s">
        <v>27</v>
      </c>
      <c r="E66" t="s">
        <v>56</v>
      </c>
      <c r="F66" t="s">
        <v>16</v>
      </c>
      <c r="G66">
        <v>4</v>
      </c>
      <c r="H66">
        <v>26616.74</v>
      </c>
      <c r="I66">
        <v>0.15</v>
      </c>
      <c r="J66">
        <v>90496.92</v>
      </c>
      <c r="K66" t="s">
        <v>24</v>
      </c>
      <c r="L66" t="s">
        <v>18</v>
      </c>
      <c r="N66" t="str">
        <f t="shared" ref="N66:N70" si="1">IF(J67&gt;15000, "VIP", "Standart")</f>
        <v>Standart</v>
      </c>
    </row>
    <row r="67" spans="1:14" x14ac:dyDescent="0.3">
      <c r="A67" t="s">
        <v>158</v>
      </c>
      <c r="B67" s="2">
        <v>45916</v>
      </c>
      <c r="C67" t="s">
        <v>159</v>
      </c>
      <c r="D67" t="s">
        <v>61</v>
      </c>
      <c r="E67" t="s">
        <v>28</v>
      </c>
      <c r="F67" t="s">
        <v>16</v>
      </c>
      <c r="G67">
        <v>1</v>
      </c>
      <c r="H67">
        <v>3326.03</v>
      </c>
      <c r="I67">
        <v>0.2</v>
      </c>
      <c r="J67">
        <v>2660.82</v>
      </c>
      <c r="K67" t="s">
        <v>37</v>
      </c>
      <c r="L67" t="s">
        <v>38</v>
      </c>
      <c r="N67" t="str">
        <f t="shared" si="1"/>
        <v>Standart</v>
      </c>
    </row>
    <row r="68" spans="1:14" x14ac:dyDescent="0.3">
      <c r="A68" t="s">
        <v>160</v>
      </c>
      <c r="B68" s="2">
        <v>45665</v>
      </c>
      <c r="C68" t="s">
        <v>13</v>
      </c>
      <c r="D68" t="s">
        <v>21</v>
      </c>
      <c r="E68" t="s">
        <v>52</v>
      </c>
      <c r="F68" t="s">
        <v>16</v>
      </c>
      <c r="G68">
        <v>1</v>
      </c>
      <c r="H68">
        <v>6910.13</v>
      </c>
      <c r="I68">
        <v>0.05</v>
      </c>
      <c r="J68">
        <v>6564.62</v>
      </c>
      <c r="K68" t="s">
        <v>32</v>
      </c>
      <c r="L68" t="s">
        <v>18</v>
      </c>
      <c r="N68" t="str">
        <f t="shared" si="1"/>
        <v>VIP</v>
      </c>
    </row>
    <row r="69" spans="1:14" x14ac:dyDescent="0.3">
      <c r="A69" t="s">
        <v>161</v>
      </c>
      <c r="B69" s="2">
        <v>45849</v>
      </c>
      <c r="C69" t="s">
        <v>162</v>
      </c>
      <c r="D69" t="s">
        <v>48</v>
      </c>
      <c r="E69" t="s">
        <v>15</v>
      </c>
      <c r="F69" t="s">
        <v>16</v>
      </c>
      <c r="G69">
        <v>2</v>
      </c>
      <c r="H69">
        <v>22992.46</v>
      </c>
      <c r="I69">
        <v>0</v>
      </c>
      <c r="J69">
        <v>45984.92</v>
      </c>
      <c r="K69" t="s">
        <v>17</v>
      </c>
      <c r="L69" t="s">
        <v>18</v>
      </c>
      <c r="N69" t="str">
        <f t="shared" si="1"/>
        <v>VIP</v>
      </c>
    </row>
    <row r="70" spans="1:14" x14ac:dyDescent="0.3">
      <c r="A70" t="s">
        <v>163</v>
      </c>
      <c r="B70" s="2">
        <v>45703</v>
      </c>
      <c r="C70" t="s">
        <v>164</v>
      </c>
      <c r="D70" t="s">
        <v>45</v>
      </c>
      <c r="E70" t="s">
        <v>15</v>
      </c>
      <c r="F70" t="s">
        <v>16</v>
      </c>
      <c r="G70">
        <v>3</v>
      </c>
      <c r="H70">
        <v>19582.990000000002</v>
      </c>
      <c r="I70">
        <v>0.1</v>
      </c>
      <c r="J70">
        <v>52874.07</v>
      </c>
      <c r="K70" t="s">
        <v>24</v>
      </c>
      <c r="L70" t="s">
        <v>38</v>
      </c>
      <c r="N70" t="str">
        <f t="shared" si="1"/>
        <v>Standart</v>
      </c>
    </row>
    <row r="71" spans="1:14" x14ac:dyDescent="0.3">
      <c r="A71" t="s">
        <v>165</v>
      </c>
      <c r="B71" s="2">
        <v>45899</v>
      </c>
      <c r="C71" t="s">
        <v>97</v>
      </c>
      <c r="D71" t="s">
        <v>45</v>
      </c>
      <c r="E71" t="s">
        <v>84</v>
      </c>
      <c r="F71" t="s">
        <v>42</v>
      </c>
      <c r="G71">
        <v>2</v>
      </c>
      <c r="H71">
        <v>3042.33</v>
      </c>
      <c r="I71">
        <v>0.05</v>
      </c>
      <c r="J71">
        <v>5780.43</v>
      </c>
      <c r="K71" t="s">
        <v>17</v>
      </c>
      <c r="L71" t="s">
        <v>18</v>
      </c>
    </row>
    <row r="72" spans="1:14" x14ac:dyDescent="0.3">
      <c r="A72" t="s">
        <v>166</v>
      </c>
      <c r="B72" s="2">
        <v>45939</v>
      </c>
      <c r="C72" t="s">
        <v>64</v>
      </c>
      <c r="D72" t="s">
        <v>27</v>
      </c>
      <c r="E72" t="s">
        <v>41</v>
      </c>
      <c r="F72" t="s">
        <v>42</v>
      </c>
      <c r="G72">
        <v>1</v>
      </c>
      <c r="H72">
        <v>1560.56</v>
      </c>
      <c r="I72">
        <v>0.2</v>
      </c>
      <c r="J72">
        <v>1248.45</v>
      </c>
      <c r="K72" t="s">
        <v>24</v>
      </c>
      <c r="L72" t="s">
        <v>38</v>
      </c>
    </row>
    <row r="73" spans="1:14" x14ac:dyDescent="0.3">
      <c r="A73" t="s">
        <v>167</v>
      </c>
      <c r="B73" s="2">
        <v>45968</v>
      </c>
      <c r="C73" t="s">
        <v>168</v>
      </c>
      <c r="D73" t="s">
        <v>21</v>
      </c>
      <c r="E73" t="s">
        <v>62</v>
      </c>
      <c r="F73" t="s">
        <v>23</v>
      </c>
      <c r="G73">
        <v>1</v>
      </c>
      <c r="H73">
        <v>1112.1199999999999</v>
      </c>
      <c r="I73">
        <v>0</v>
      </c>
      <c r="J73">
        <v>1112.1199999999999</v>
      </c>
      <c r="K73" t="s">
        <v>37</v>
      </c>
      <c r="L73" t="s">
        <v>18</v>
      </c>
    </row>
    <row r="74" spans="1:14" x14ac:dyDescent="0.3">
      <c r="A74" t="s">
        <v>169</v>
      </c>
      <c r="B74" s="2">
        <v>45859</v>
      </c>
      <c r="C74" t="s">
        <v>170</v>
      </c>
      <c r="D74" t="s">
        <v>14</v>
      </c>
      <c r="E74" t="s">
        <v>84</v>
      </c>
      <c r="F74" t="s">
        <v>42</v>
      </c>
      <c r="G74">
        <v>4</v>
      </c>
      <c r="H74">
        <v>2926.63</v>
      </c>
      <c r="I74">
        <v>0.05</v>
      </c>
      <c r="J74">
        <v>11121.19</v>
      </c>
      <c r="K74" t="s">
        <v>37</v>
      </c>
      <c r="L74" t="s">
        <v>18</v>
      </c>
    </row>
    <row r="75" spans="1:14" x14ac:dyDescent="0.3">
      <c r="A75" t="s">
        <v>171</v>
      </c>
      <c r="B75" s="2">
        <v>45945</v>
      </c>
      <c r="C75" t="s">
        <v>125</v>
      </c>
      <c r="D75" t="s">
        <v>21</v>
      </c>
      <c r="E75" t="s">
        <v>28</v>
      </c>
      <c r="F75" t="s">
        <v>16</v>
      </c>
      <c r="G75">
        <v>1</v>
      </c>
      <c r="H75">
        <v>3012.63</v>
      </c>
      <c r="I75">
        <v>0</v>
      </c>
      <c r="J75">
        <v>3012.63</v>
      </c>
      <c r="K75" t="s">
        <v>17</v>
      </c>
      <c r="L75" t="s">
        <v>18</v>
      </c>
    </row>
    <row r="76" spans="1:14" x14ac:dyDescent="0.3">
      <c r="A76" t="s">
        <v>172</v>
      </c>
      <c r="B76" s="2">
        <v>45925</v>
      </c>
      <c r="C76" t="s">
        <v>173</v>
      </c>
      <c r="D76" t="s">
        <v>48</v>
      </c>
      <c r="E76" t="s">
        <v>84</v>
      </c>
      <c r="F76" t="s">
        <v>42</v>
      </c>
      <c r="G76">
        <v>2</v>
      </c>
      <c r="H76">
        <v>2811.29</v>
      </c>
      <c r="I76">
        <v>0.1</v>
      </c>
      <c r="K76" t="s">
        <v>32</v>
      </c>
      <c r="L76" t="s">
        <v>29</v>
      </c>
    </row>
    <row r="77" spans="1:14" x14ac:dyDescent="0.3">
      <c r="A77" t="s">
        <v>174</v>
      </c>
      <c r="B77" s="2">
        <v>45864</v>
      </c>
      <c r="C77" t="s">
        <v>175</v>
      </c>
      <c r="D77" t="s">
        <v>48</v>
      </c>
      <c r="E77" t="s">
        <v>22</v>
      </c>
      <c r="F77" t="s">
        <v>23</v>
      </c>
      <c r="G77">
        <v>1</v>
      </c>
      <c r="H77">
        <v>4709.93</v>
      </c>
      <c r="I77">
        <v>0</v>
      </c>
      <c r="J77">
        <v>4709.93</v>
      </c>
      <c r="K77" t="s">
        <v>24</v>
      </c>
      <c r="L77" t="s">
        <v>38</v>
      </c>
    </row>
    <row r="78" spans="1:14" x14ac:dyDescent="0.3">
      <c r="A78" t="s">
        <v>176</v>
      </c>
      <c r="B78" s="2">
        <v>45995</v>
      </c>
      <c r="C78" t="s">
        <v>177</v>
      </c>
      <c r="D78" t="s">
        <v>61</v>
      </c>
      <c r="E78" t="s">
        <v>22</v>
      </c>
      <c r="F78" t="s">
        <v>23</v>
      </c>
      <c r="G78">
        <v>2</v>
      </c>
      <c r="H78">
        <v>5312.41</v>
      </c>
      <c r="I78">
        <v>0.2</v>
      </c>
      <c r="J78">
        <v>8499.86</v>
      </c>
      <c r="K78" t="s">
        <v>17</v>
      </c>
      <c r="L78" t="s">
        <v>18</v>
      </c>
    </row>
    <row r="79" spans="1:14" x14ac:dyDescent="0.3">
      <c r="A79" t="s">
        <v>178</v>
      </c>
      <c r="B79" s="2">
        <v>45687</v>
      </c>
      <c r="C79" t="s">
        <v>179</v>
      </c>
      <c r="D79" t="s">
        <v>14</v>
      </c>
      <c r="E79" t="s">
        <v>84</v>
      </c>
      <c r="F79" t="s">
        <v>42</v>
      </c>
      <c r="G79">
        <v>2</v>
      </c>
      <c r="H79">
        <v>3029.86</v>
      </c>
      <c r="I79">
        <v>0.05</v>
      </c>
      <c r="J79">
        <v>5756.73</v>
      </c>
      <c r="K79" t="s">
        <v>37</v>
      </c>
      <c r="L79" t="s">
        <v>38</v>
      </c>
    </row>
    <row r="80" spans="1:14" x14ac:dyDescent="0.3">
      <c r="A80" t="s">
        <v>180</v>
      </c>
      <c r="B80" s="2">
        <v>45726</v>
      </c>
      <c r="C80" t="s">
        <v>125</v>
      </c>
      <c r="D80" t="s">
        <v>48</v>
      </c>
      <c r="E80" t="s">
        <v>28</v>
      </c>
      <c r="F80" t="s">
        <v>16</v>
      </c>
      <c r="G80">
        <v>4</v>
      </c>
      <c r="H80">
        <v>3045.28</v>
      </c>
      <c r="I80">
        <v>0.05</v>
      </c>
      <c r="J80">
        <v>11572.06</v>
      </c>
      <c r="K80" t="s">
        <v>37</v>
      </c>
      <c r="L80" t="s">
        <v>18</v>
      </c>
    </row>
    <row r="81" spans="1:12" x14ac:dyDescent="0.3">
      <c r="A81" t="s">
        <v>181</v>
      </c>
      <c r="B81" s="2">
        <v>45808</v>
      </c>
      <c r="C81" t="s">
        <v>182</v>
      </c>
      <c r="D81" t="s">
        <v>61</v>
      </c>
      <c r="E81" t="s">
        <v>28</v>
      </c>
      <c r="F81" t="s">
        <v>16</v>
      </c>
      <c r="G81">
        <v>2</v>
      </c>
      <c r="H81">
        <v>3223.85</v>
      </c>
      <c r="I81">
        <v>0</v>
      </c>
      <c r="J81">
        <v>6447.7</v>
      </c>
      <c r="K81" t="s">
        <v>17</v>
      </c>
      <c r="L81" t="s">
        <v>18</v>
      </c>
    </row>
    <row r="82" spans="1:12" x14ac:dyDescent="0.3">
      <c r="A82" t="s">
        <v>183</v>
      </c>
      <c r="B82" s="2">
        <v>45852</v>
      </c>
      <c r="C82" t="s">
        <v>162</v>
      </c>
      <c r="D82" t="s">
        <v>45</v>
      </c>
      <c r="E82" t="s">
        <v>35</v>
      </c>
      <c r="F82" t="s">
        <v>36</v>
      </c>
      <c r="G82">
        <v>1</v>
      </c>
      <c r="H82">
        <v>1942.84</v>
      </c>
      <c r="I82">
        <v>0</v>
      </c>
      <c r="J82">
        <v>1942.84</v>
      </c>
      <c r="K82" t="s">
        <v>32</v>
      </c>
      <c r="L82" t="s">
        <v>18</v>
      </c>
    </row>
    <row r="83" spans="1:12" x14ac:dyDescent="0.3">
      <c r="A83" t="s">
        <v>184</v>
      </c>
      <c r="B83" s="2">
        <v>45974</v>
      </c>
      <c r="C83" t="s">
        <v>185</v>
      </c>
      <c r="D83" t="s">
        <v>45</v>
      </c>
      <c r="E83" t="s">
        <v>28</v>
      </c>
      <c r="F83" t="s">
        <v>16</v>
      </c>
      <c r="G83">
        <v>1</v>
      </c>
      <c r="H83">
        <v>3058.3</v>
      </c>
      <c r="I83">
        <v>0</v>
      </c>
      <c r="J83">
        <v>3058.3</v>
      </c>
      <c r="K83" t="s">
        <v>24</v>
      </c>
      <c r="L83" t="s">
        <v>18</v>
      </c>
    </row>
    <row r="84" spans="1:12" x14ac:dyDescent="0.3">
      <c r="A84" t="s">
        <v>186</v>
      </c>
      <c r="B84" s="2">
        <v>45958</v>
      </c>
      <c r="C84" t="s">
        <v>162</v>
      </c>
      <c r="D84" t="s">
        <v>27</v>
      </c>
      <c r="E84" t="s">
        <v>49</v>
      </c>
      <c r="F84" t="s">
        <v>23</v>
      </c>
      <c r="G84">
        <v>1</v>
      </c>
      <c r="H84">
        <v>6504.44</v>
      </c>
      <c r="I84">
        <v>0.05</v>
      </c>
      <c r="J84">
        <v>6179.22</v>
      </c>
      <c r="K84" t="s">
        <v>24</v>
      </c>
      <c r="L84" t="s">
        <v>29</v>
      </c>
    </row>
    <row r="85" spans="1:12" x14ac:dyDescent="0.3">
      <c r="A85" t="s">
        <v>187</v>
      </c>
      <c r="B85" s="2">
        <v>45718</v>
      </c>
      <c r="C85" t="s">
        <v>188</v>
      </c>
      <c r="D85" t="s">
        <v>109</v>
      </c>
      <c r="E85" t="s">
        <v>35</v>
      </c>
      <c r="F85" t="s">
        <v>36</v>
      </c>
      <c r="G85">
        <v>1</v>
      </c>
      <c r="H85">
        <v>1951.51</v>
      </c>
      <c r="I85">
        <v>0.15</v>
      </c>
      <c r="J85">
        <v>1658.78</v>
      </c>
      <c r="K85" t="s">
        <v>32</v>
      </c>
      <c r="L85" t="s">
        <v>38</v>
      </c>
    </row>
    <row r="86" spans="1:12" x14ac:dyDescent="0.3">
      <c r="A86" t="s">
        <v>189</v>
      </c>
      <c r="B86" s="2">
        <v>45871</v>
      </c>
      <c r="C86" t="s">
        <v>190</v>
      </c>
      <c r="D86" t="s">
        <v>109</v>
      </c>
      <c r="E86" t="s">
        <v>84</v>
      </c>
      <c r="F86" t="s">
        <v>42</v>
      </c>
      <c r="G86">
        <v>1</v>
      </c>
      <c r="H86">
        <v>2727.46</v>
      </c>
      <c r="I86">
        <v>0</v>
      </c>
      <c r="J86">
        <v>2727.46</v>
      </c>
      <c r="K86" t="s">
        <v>32</v>
      </c>
      <c r="L86" t="s">
        <v>18</v>
      </c>
    </row>
    <row r="87" spans="1:12" x14ac:dyDescent="0.3">
      <c r="A87" t="s">
        <v>191</v>
      </c>
      <c r="B87" s="2">
        <v>45664</v>
      </c>
      <c r="C87" t="s">
        <v>192</v>
      </c>
      <c r="D87" t="s">
        <v>61</v>
      </c>
      <c r="E87" t="s">
        <v>49</v>
      </c>
      <c r="F87" t="s">
        <v>23</v>
      </c>
      <c r="G87">
        <v>2</v>
      </c>
      <c r="H87">
        <v>6178.17</v>
      </c>
      <c r="I87">
        <v>0</v>
      </c>
      <c r="J87">
        <v>12356.34</v>
      </c>
      <c r="K87" t="s">
        <v>17</v>
      </c>
      <c r="L87" t="s">
        <v>18</v>
      </c>
    </row>
    <row r="88" spans="1:12" x14ac:dyDescent="0.3">
      <c r="A88" t="s">
        <v>193</v>
      </c>
      <c r="B88" s="2">
        <v>45672</v>
      </c>
      <c r="C88" t="s">
        <v>194</v>
      </c>
      <c r="D88" t="s">
        <v>27</v>
      </c>
      <c r="E88" t="s">
        <v>62</v>
      </c>
      <c r="F88" t="s">
        <v>23</v>
      </c>
      <c r="G88">
        <v>1</v>
      </c>
      <c r="H88">
        <v>1207.83</v>
      </c>
      <c r="I88">
        <v>0.05</v>
      </c>
      <c r="J88">
        <v>1147.44</v>
      </c>
      <c r="K88" t="s">
        <v>17</v>
      </c>
      <c r="L88" t="s">
        <v>18</v>
      </c>
    </row>
    <row r="89" spans="1:12" x14ac:dyDescent="0.3">
      <c r="A89" t="s">
        <v>195</v>
      </c>
      <c r="B89" s="2">
        <v>45957</v>
      </c>
      <c r="C89" t="s">
        <v>196</v>
      </c>
      <c r="D89" t="s">
        <v>27</v>
      </c>
      <c r="E89" t="s">
        <v>56</v>
      </c>
      <c r="F89" t="s">
        <v>16</v>
      </c>
      <c r="G89">
        <v>1</v>
      </c>
      <c r="H89">
        <v>27033.99</v>
      </c>
      <c r="I89">
        <v>0</v>
      </c>
      <c r="J89">
        <v>27033.99</v>
      </c>
      <c r="K89" t="s">
        <v>37</v>
      </c>
      <c r="L89" t="s">
        <v>29</v>
      </c>
    </row>
    <row r="90" spans="1:12" x14ac:dyDescent="0.3">
      <c r="A90" t="s">
        <v>197</v>
      </c>
      <c r="B90" s="2">
        <v>45768</v>
      </c>
      <c r="C90" t="s">
        <v>198</v>
      </c>
      <c r="D90" t="s">
        <v>109</v>
      </c>
      <c r="E90" t="s">
        <v>84</v>
      </c>
      <c r="F90" t="s">
        <v>42</v>
      </c>
      <c r="G90">
        <v>3</v>
      </c>
      <c r="H90">
        <v>2568.6799999999998</v>
      </c>
      <c r="I90">
        <v>0.05</v>
      </c>
      <c r="J90">
        <v>7320.74</v>
      </c>
      <c r="K90" t="s">
        <v>17</v>
      </c>
      <c r="L90" t="s">
        <v>29</v>
      </c>
    </row>
    <row r="91" spans="1:12" x14ac:dyDescent="0.3">
      <c r="A91" t="s">
        <v>199</v>
      </c>
      <c r="B91" s="2">
        <v>45939</v>
      </c>
      <c r="C91" t="s">
        <v>200</v>
      </c>
      <c r="D91" t="s">
        <v>109</v>
      </c>
      <c r="E91" t="s">
        <v>49</v>
      </c>
      <c r="F91" t="s">
        <v>23</v>
      </c>
      <c r="G91">
        <v>1</v>
      </c>
      <c r="H91">
        <v>6322.01</v>
      </c>
      <c r="I91">
        <v>0</v>
      </c>
      <c r="J91">
        <v>6322.01</v>
      </c>
      <c r="K91" t="s">
        <v>17</v>
      </c>
      <c r="L91" t="s">
        <v>18</v>
      </c>
    </row>
    <row r="92" spans="1:12" x14ac:dyDescent="0.3">
      <c r="A92" t="s">
        <v>201</v>
      </c>
      <c r="B92" s="2">
        <v>45855</v>
      </c>
      <c r="C92" t="s">
        <v>81</v>
      </c>
      <c r="D92" t="s">
        <v>61</v>
      </c>
      <c r="E92" t="s">
        <v>52</v>
      </c>
      <c r="F92" t="s">
        <v>16</v>
      </c>
      <c r="G92">
        <v>2</v>
      </c>
      <c r="H92">
        <v>6902.67</v>
      </c>
      <c r="I92">
        <v>0</v>
      </c>
      <c r="J92">
        <v>13805.34</v>
      </c>
      <c r="K92" t="s">
        <v>32</v>
      </c>
      <c r="L92" t="s">
        <v>18</v>
      </c>
    </row>
    <row r="93" spans="1:12" x14ac:dyDescent="0.3">
      <c r="A93" t="s">
        <v>202</v>
      </c>
      <c r="B93" s="2">
        <v>45904</v>
      </c>
      <c r="C93" t="s">
        <v>90</v>
      </c>
      <c r="D93" t="s">
        <v>14</v>
      </c>
      <c r="E93" t="s">
        <v>28</v>
      </c>
      <c r="F93" t="s">
        <v>16</v>
      </c>
      <c r="G93">
        <v>1</v>
      </c>
      <c r="H93">
        <v>3453.93</v>
      </c>
      <c r="I93">
        <v>0</v>
      </c>
      <c r="J93">
        <v>3453.93</v>
      </c>
      <c r="K93" t="s">
        <v>17</v>
      </c>
      <c r="L93" t="s">
        <v>18</v>
      </c>
    </row>
    <row r="94" spans="1:12" x14ac:dyDescent="0.3">
      <c r="A94" t="s">
        <v>203</v>
      </c>
      <c r="B94" s="2">
        <v>45661</v>
      </c>
      <c r="C94" t="s">
        <v>204</v>
      </c>
      <c r="D94" t="s">
        <v>48</v>
      </c>
      <c r="E94" t="s">
        <v>52</v>
      </c>
      <c r="F94" t="s">
        <v>16</v>
      </c>
      <c r="G94">
        <v>1</v>
      </c>
      <c r="H94">
        <v>8204.2099999999991</v>
      </c>
      <c r="I94">
        <v>0.05</v>
      </c>
      <c r="J94">
        <v>7794</v>
      </c>
      <c r="K94" t="s">
        <v>24</v>
      </c>
      <c r="L94" t="s">
        <v>18</v>
      </c>
    </row>
    <row r="95" spans="1:12" x14ac:dyDescent="0.3">
      <c r="A95" t="s">
        <v>205</v>
      </c>
      <c r="B95" s="2">
        <v>45683</v>
      </c>
      <c r="C95" t="s">
        <v>206</v>
      </c>
      <c r="D95" t="s">
        <v>45</v>
      </c>
      <c r="E95" t="s">
        <v>28</v>
      </c>
      <c r="F95" t="s">
        <v>16</v>
      </c>
      <c r="G95">
        <v>2</v>
      </c>
      <c r="H95">
        <v>3236.33</v>
      </c>
      <c r="I95">
        <v>0.15</v>
      </c>
      <c r="J95">
        <v>5501.76</v>
      </c>
      <c r="K95" t="s">
        <v>32</v>
      </c>
      <c r="L95" t="s">
        <v>18</v>
      </c>
    </row>
    <row r="96" spans="1:12" x14ac:dyDescent="0.3">
      <c r="A96" t="s">
        <v>207</v>
      </c>
      <c r="B96" s="2">
        <v>45797</v>
      </c>
      <c r="C96" t="s">
        <v>208</v>
      </c>
      <c r="D96" t="s">
        <v>27</v>
      </c>
      <c r="E96" t="s">
        <v>52</v>
      </c>
      <c r="F96" t="s">
        <v>16</v>
      </c>
      <c r="G96">
        <v>2</v>
      </c>
      <c r="H96">
        <v>7854.37</v>
      </c>
      <c r="I96">
        <v>0</v>
      </c>
      <c r="J96">
        <v>15708.74</v>
      </c>
      <c r="K96" t="s">
        <v>24</v>
      </c>
      <c r="L96" t="s">
        <v>29</v>
      </c>
    </row>
    <row r="97" spans="1:12" x14ac:dyDescent="0.3">
      <c r="A97" t="s">
        <v>209</v>
      </c>
      <c r="B97" s="2">
        <v>45916</v>
      </c>
      <c r="C97" t="s">
        <v>129</v>
      </c>
      <c r="D97" t="s">
        <v>48</v>
      </c>
      <c r="E97" t="s">
        <v>56</v>
      </c>
      <c r="F97" t="s">
        <v>16</v>
      </c>
      <c r="G97">
        <v>2</v>
      </c>
      <c r="H97">
        <v>26995.599999999999</v>
      </c>
      <c r="I97">
        <v>0.15</v>
      </c>
      <c r="J97">
        <v>45892.52</v>
      </c>
      <c r="K97" t="s">
        <v>24</v>
      </c>
      <c r="L97" t="s">
        <v>18</v>
      </c>
    </row>
    <row r="98" spans="1:12" x14ac:dyDescent="0.3">
      <c r="A98" t="s">
        <v>210</v>
      </c>
      <c r="B98" s="2">
        <v>45741</v>
      </c>
      <c r="C98" t="s">
        <v>149</v>
      </c>
      <c r="D98" t="s">
        <v>61</v>
      </c>
      <c r="E98" t="s">
        <v>62</v>
      </c>
      <c r="F98" t="s">
        <v>23</v>
      </c>
      <c r="G98">
        <v>2</v>
      </c>
      <c r="H98">
        <v>1244.3</v>
      </c>
      <c r="I98">
        <v>0</v>
      </c>
      <c r="J98">
        <v>2488.6</v>
      </c>
      <c r="K98" t="s">
        <v>37</v>
      </c>
      <c r="L98" t="s">
        <v>18</v>
      </c>
    </row>
    <row r="99" spans="1:12" x14ac:dyDescent="0.3">
      <c r="A99" t="s">
        <v>211</v>
      </c>
      <c r="B99" s="2">
        <v>45752</v>
      </c>
      <c r="C99" t="s">
        <v>212</v>
      </c>
      <c r="D99" t="s">
        <v>45</v>
      </c>
      <c r="E99" t="s">
        <v>56</v>
      </c>
      <c r="F99" t="s">
        <v>16</v>
      </c>
      <c r="G99">
        <v>1</v>
      </c>
      <c r="H99">
        <v>29648.02</v>
      </c>
      <c r="I99">
        <v>0.1</v>
      </c>
      <c r="J99">
        <v>26683.22</v>
      </c>
      <c r="K99" t="s">
        <v>24</v>
      </c>
      <c r="L99" t="s">
        <v>29</v>
      </c>
    </row>
    <row r="100" spans="1:12" x14ac:dyDescent="0.3">
      <c r="A100" t="s">
        <v>213</v>
      </c>
      <c r="B100" s="2">
        <v>45692</v>
      </c>
      <c r="C100" t="s">
        <v>214</v>
      </c>
      <c r="D100" t="s">
        <v>48</v>
      </c>
      <c r="E100" t="s">
        <v>49</v>
      </c>
      <c r="F100" t="s">
        <v>23</v>
      </c>
      <c r="G100">
        <v>4</v>
      </c>
      <c r="H100">
        <v>6116.5</v>
      </c>
      <c r="I100">
        <v>0.2</v>
      </c>
      <c r="J100">
        <v>19572.8</v>
      </c>
      <c r="K100" t="s">
        <v>32</v>
      </c>
      <c r="L100" t="s">
        <v>38</v>
      </c>
    </row>
    <row r="101" spans="1:12" x14ac:dyDescent="0.3">
      <c r="A101" t="s">
        <v>215</v>
      </c>
      <c r="B101" s="2">
        <v>45870</v>
      </c>
      <c r="C101" t="s">
        <v>216</v>
      </c>
      <c r="D101" t="s">
        <v>45</v>
      </c>
      <c r="E101" t="s">
        <v>28</v>
      </c>
      <c r="F101" t="s">
        <v>16</v>
      </c>
      <c r="G101">
        <v>3</v>
      </c>
      <c r="H101">
        <v>2984.74</v>
      </c>
      <c r="I101">
        <v>0</v>
      </c>
      <c r="J101">
        <v>8954.2199999999993</v>
      </c>
      <c r="K101" t="s">
        <v>17</v>
      </c>
      <c r="L101" t="s">
        <v>29</v>
      </c>
    </row>
    <row r="102" spans="1:12" x14ac:dyDescent="0.3">
      <c r="A102" t="s">
        <v>217</v>
      </c>
      <c r="B102" s="2">
        <v>45953</v>
      </c>
      <c r="C102" t="s">
        <v>218</v>
      </c>
      <c r="D102" t="s">
        <v>61</v>
      </c>
      <c r="E102" t="s">
        <v>62</v>
      </c>
      <c r="F102" t="s">
        <v>23</v>
      </c>
      <c r="G102">
        <v>1</v>
      </c>
      <c r="H102">
        <v>1174.19</v>
      </c>
      <c r="I102">
        <v>0.15</v>
      </c>
      <c r="J102">
        <v>998.06</v>
      </c>
      <c r="K102" t="s">
        <v>32</v>
      </c>
      <c r="L102" t="s">
        <v>18</v>
      </c>
    </row>
    <row r="103" spans="1:12" x14ac:dyDescent="0.3">
      <c r="A103" t="s">
        <v>219</v>
      </c>
      <c r="B103" s="2">
        <v>45810</v>
      </c>
      <c r="C103" t="s">
        <v>220</v>
      </c>
      <c r="D103" t="s">
        <v>27</v>
      </c>
      <c r="E103" t="s">
        <v>49</v>
      </c>
      <c r="F103" t="s">
        <v>23</v>
      </c>
      <c r="G103">
        <v>1</v>
      </c>
      <c r="H103">
        <v>6503.54</v>
      </c>
      <c r="I103">
        <v>0.1</v>
      </c>
      <c r="J103">
        <v>5853.19</v>
      </c>
      <c r="K103" t="s">
        <v>17</v>
      </c>
      <c r="L103" t="s">
        <v>18</v>
      </c>
    </row>
    <row r="104" spans="1:12" x14ac:dyDescent="0.3">
      <c r="A104" t="s">
        <v>221</v>
      </c>
      <c r="B104" s="2">
        <v>45791</v>
      </c>
      <c r="C104" t="s">
        <v>222</v>
      </c>
      <c r="D104" t="s">
        <v>61</v>
      </c>
      <c r="E104" t="s">
        <v>62</v>
      </c>
      <c r="F104" t="s">
        <v>23</v>
      </c>
      <c r="G104">
        <v>3</v>
      </c>
      <c r="H104">
        <v>1108.06</v>
      </c>
      <c r="I104">
        <v>0.1</v>
      </c>
      <c r="J104">
        <v>2991.76</v>
      </c>
      <c r="K104" t="s">
        <v>17</v>
      </c>
      <c r="L104" t="s">
        <v>18</v>
      </c>
    </row>
    <row r="105" spans="1:12" x14ac:dyDescent="0.3">
      <c r="A105" t="s">
        <v>223</v>
      </c>
      <c r="B105" s="2">
        <v>45888</v>
      </c>
      <c r="C105" t="s">
        <v>162</v>
      </c>
      <c r="D105" t="s">
        <v>21</v>
      </c>
      <c r="E105" t="s">
        <v>28</v>
      </c>
      <c r="F105" t="s">
        <v>16</v>
      </c>
      <c r="G105">
        <v>3</v>
      </c>
      <c r="H105">
        <v>3221.42</v>
      </c>
      <c r="I105">
        <v>0.1</v>
      </c>
      <c r="J105">
        <v>8697.83</v>
      </c>
      <c r="K105" t="s">
        <v>37</v>
      </c>
      <c r="L105" t="s">
        <v>18</v>
      </c>
    </row>
    <row r="106" spans="1:12" x14ac:dyDescent="0.3">
      <c r="A106" t="s">
        <v>224</v>
      </c>
      <c r="B106" s="2">
        <v>45743</v>
      </c>
      <c r="C106" t="s">
        <v>225</v>
      </c>
      <c r="D106" t="s">
        <v>109</v>
      </c>
      <c r="E106" t="s">
        <v>15</v>
      </c>
      <c r="F106" t="s">
        <v>16</v>
      </c>
      <c r="G106">
        <v>1</v>
      </c>
      <c r="H106">
        <v>19040.84</v>
      </c>
      <c r="I106">
        <v>0.1</v>
      </c>
      <c r="J106">
        <v>17136.759999999998</v>
      </c>
      <c r="K106" t="s">
        <v>37</v>
      </c>
      <c r="L106" t="s">
        <v>38</v>
      </c>
    </row>
    <row r="107" spans="1:12" x14ac:dyDescent="0.3">
      <c r="A107" t="s">
        <v>226</v>
      </c>
      <c r="B107" s="2">
        <v>45873</v>
      </c>
      <c r="C107" t="s">
        <v>73</v>
      </c>
      <c r="D107" t="s">
        <v>61</v>
      </c>
      <c r="E107" t="s">
        <v>15</v>
      </c>
      <c r="F107" t="s">
        <v>16</v>
      </c>
      <c r="G107">
        <v>3</v>
      </c>
      <c r="H107">
        <v>22455.1</v>
      </c>
      <c r="I107">
        <v>0</v>
      </c>
      <c r="J107">
        <v>67365.3</v>
      </c>
      <c r="K107" t="s">
        <v>37</v>
      </c>
      <c r="L107" t="s">
        <v>18</v>
      </c>
    </row>
    <row r="108" spans="1:12" x14ac:dyDescent="0.3">
      <c r="A108" t="s">
        <v>227</v>
      </c>
      <c r="B108" s="2">
        <v>45772</v>
      </c>
      <c r="C108" t="s">
        <v>228</v>
      </c>
      <c r="D108" t="s">
        <v>21</v>
      </c>
      <c r="E108" t="s">
        <v>62</v>
      </c>
      <c r="F108" t="s">
        <v>23</v>
      </c>
      <c r="G108">
        <v>1</v>
      </c>
      <c r="H108">
        <v>1082.93</v>
      </c>
      <c r="I108">
        <v>0.1</v>
      </c>
      <c r="J108">
        <v>974.64</v>
      </c>
      <c r="K108" t="s">
        <v>24</v>
      </c>
      <c r="L108" t="s">
        <v>18</v>
      </c>
    </row>
    <row r="109" spans="1:12" x14ac:dyDescent="0.3">
      <c r="A109" t="s">
        <v>229</v>
      </c>
      <c r="B109" s="2">
        <v>45857</v>
      </c>
      <c r="C109" t="s">
        <v>230</v>
      </c>
      <c r="D109" t="s">
        <v>61</v>
      </c>
      <c r="E109" t="s">
        <v>15</v>
      </c>
      <c r="F109" t="s">
        <v>16</v>
      </c>
      <c r="G109">
        <v>1</v>
      </c>
      <c r="H109">
        <v>21350.25</v>
      </c>
      <c r="I109">
        <v>0.15</v>
      </c>
      <c r="J109">
        <v>18147.71</v>
      </c>
      <c r="K109" t="s">
        <v>24</v>
      </c>
      <c r="L109" t="s">
        <v>38</v>
      </c>
    </row>
    <row r="110" spans="1:12" x14ac:dyDescent="0.3">
      <c r="A110" t="s">
        <v>231</v>
      </c>
      <c r="B110" s="2">
        <v>45768</v>
      </c>
      <c r="C110" t="s">
        <v>106</v>
      </c>
      <c r="D110" t="s">
        <v>21</v>
      </c>
      <c r="E110" t="s">
        <v>28</v>
      </c>
      <c r="F110" t="s">
        <v>16</v>
      </c>
      <c r="G110">
        <v>2</v>
      </c>
      <c r="H110">
        <v>3271.33</v>
      </c>
      <c r="I110">
        <v>0.05</v>
      </c>
      <c r="J110">
        <v>6215.53</v>
      </c>
      <c r="K110" t="s">
        <v>17</v>
      </c>
      <c r="L110" t="s">
        <v>38</v>
      </c>
    </row>
    <row r="111" spans="1:12" x14ac:dyDescent="0.3">
      <c r="A111" t="s">
        <v>232</v>
      </c>
      <c r="B111" s="2">
        <v>45763</v>
      </c>
      <c r="C111" t="s">
        <v>111</v>
      </c>
      <c r="D111" t="s">
        <v>61</v>
      </c>
      <c r="E111" t="s">
        <v>62</v>
      </c>
      <c r="F111" t="s">
        <v>23</v>
      </c>
      <c r="G111">
        <v>2</v>
      </c>
      <c r="H111">
        <v>1249.74</v>
      </c>
      <c r="I111">
        <v>0.15</v>
      </c>
      <c r="J111">
        <v>2124.56</v>
      </c>
      <c r="K111" t="s">
        <v>24</v>
      </c>
      <c r="L111" t="s">
        <v>18</v>
      </c>
    </row>
    <row r="112" spans="1:12" x14ac:dyDescent="0.3">
      <c r="A112" t="s">
        <v>233</v>
      </c>
      <c r="B112" s="2">
        <v>45914</v>
      </c>
      <c r="C112" t="s">
        <v>234</v>
      </c>
      <c r="D112" t="s">
        <v>45</v>
      </c>
      <c r="E112" t="s">
        <v>56</v>
      </c>
      <c r="F112" t="s">
        <v>16</v>
      </c>
      <c r="G112">
        <v>1</v>
      </c>
      <c r="H112">
        <v>30299.84</v>
      </c>
      <c r="I112">
        <v>0.15</v>
      </c>
      <c r="J112">
        <v>25754.86</v>
      </c>
      <c r="K112" t="s">
        <v>37</v>
      </c>
      <c r="L112" t="s">
        <v>18</v>
      </c>
    </row>
    <row r="113" spans="1:12" x14ac:dyDescent="0.3">
      <c r="A113" t="s">
        <v>235</v>
      </c>
      <c r="B113" s="2">
        <v>45806</v>
      </c>
      <c r="C113" t="s">
        <v>40</v>
      </c>
      <c r="D113" t="s">
        <v>27</v>
      </c>
      <c r="E113" t="s">
        <v>28</v>
      </c>
      <c r="F113" t="s">
        <v>16</v>
      </c>
      <c r="G113">
        <v>3</v>
      </c>
      <c r="H113">
        <v>3079.32</v>
      </c>
      <c r="I113">
        <v>0</v>
      </c>
      <c r="J113">
        <v>9237.9599999999991</v>
      </c>
      <c r="K113" t="s">
        <v>37</v>
      </c>
      <c r="L113" t="s">
        <v>18</v>
      </c>
    </row>
    <row r="114" spans="1:12" x14ac:dyDescent="0.3">
      <c r="A114" t="s">
        <v>236</v>
      </c>
      <c r="B114" s="2">
        <v>45682</v>
      </c>
      <c r="C114" t="s">
        <v>237</v>
      </c>
      <c r="D114" t="s">
        <v>14</v>
      </c>
      <c r="E114" t="s">
        <v>41</v>
      </c>
      <c r="F114" t="s">
        <v>42</v>
      </c>
      <c r="G114">
        <v>1</v>
      </c>
      <c r="H114">
        <v>1567.41</v>
      </c>
      <c r="I114">
        <v>0</v>
      </c>
      <c r="J114">
        <v>1567.41</v>
      </c>
      <c r="K114" t="s">
        <v>24</v>
      </c>
      <c r="L114" t="s">
        <v>18</v>
      </c>
    </row>
    <row r="115" spans="1:12" x14ac:dyDescent="0.3">
      <c r="A115" t="s">
        <v>238</v>
      </c>
      <c r="B115" s="2">
        <v>46021</v>
      </c>
      <c r="C115" t="s">
        <v>206</v>
      </c>
      <c r="D115" t="s">
        <v>48</v>
      </c>
      <c r="E115" t="s">
        <v>15</v>
      </c>
      <c r="F115" t="s">
        <v>16</v>
      </c>
      <c r="G115">
        <v>2</v>
      </c>
      <c r="H115">
        <v>19843.34</v>
      </c>
      <c r="I115">
        <v>0.05</v>
      </c>
      <c r="J115">
        <v>37702.35</v>
      </c>
      <c r="K115" t="s">
        <v>32</v>
      </c>
      <c r="L115" t="s">
        <v>29</v>
      </c>
    </row>
    <row r="116" spans="1:12" x14ac:dyDescent="0.3">
      <c r="A116" t="s">
        <v>239</v>
      </c>
      <c r="B116" s="2">
        <v>45807</v>
      </c>
      <c r="C116" t="s">
        <v>51</v>
      </c>
      <c r="D116" t="s">
        <v>21</v>
      </c>
      <c r="E116" t="s">
        <v>28</v>
      </c>
      <c r="F116" t="s">
        <v>16</v>
      </c>
      <c r="G116">
        <v>1</v>
      </c>
      <c r="H116">
        <v>3379.52</v>
      </c>
      <c r="I116">
        <v>0</v>
      </c>
      <c r="J116">
        <v>3379.52</v>
      </c>
      <c r="K116" t="s">
        <v>24</v>
      </c>
      <c r="L116" t="s">
        <v>29</v>
      </c>
    </row>
    <row r="117" spans="1:12" x14ac:dyDescent="0.3">
      <c r="A117" t="s">
        <v>240</v>
      </c>
      <c r="B117" s="2">
        <v>45720</v>
      </c>
      <c r="C117" t="s">
        <v>120</v>
      </c>
      <c r="D117" t="s">
        <v>27</v>
      </c>
      <c r="E117" t="s">
        <v>28</v>
      </c>
      <c r="F117" t="s">
        <v>16</v>
      </c>
      <c r="G117">
        <v>4</v>
      </c>
      <c r="H117">
        <v>3145.36</v>
      </c>
      <c r="I117">
        <v>0</v>
      </c>
      <c r="J117">
        <v>12581.44</v>
      </c>
      <c r="K117" t="s">
        <v>17</v>
      </c>
      <c r="L117" t="s">
        <v>29</v>
      </c>
    </row>
    <row r="118" spans="1:12" x14ac:dyDescent="0.3">
      <c r="A118" t="s">
        <v>241</v>
      </c>
      <c r="B118" s="2">
        <v>45689</v>
      </c>
      <c r="C118" t="s">
        <v>242</v>
      </c>
      <c r="D118" t="s">
        <v>45</v>
      </c>
      <c r="E118" t="s">
        <v>56</v>
      </c>
      <c r="F118" t="s">
        <v>16</v>
      </c>
      <c r="G118">
        <v>2</v>
      </c>
      <c r="H118">
        <v>30229.1</v>
      </c>
      <c r="I118">
        <v>0</v>
      </c>
      <c r="J118">
        <v>60458.2</v>
      </c>
      <c r="K118" t="s">
        <v>37</v>
      </c>
      <c r="L118" t="s">
        <v>18</v>
      </c>
    </row>
    <row r="119" spans="1:12" x14ac:dyDescent="0.3">
      <c r="A119" t="s">
        <v>243</v>
      </c>
      <c r="B119" s="2">
        <v>45832</v>
      </c>
      <c r="C119" t="s">
        <v>244</v>
      </c>
      <c r="D119" t="s">
        <v>48</v>
      </c>
      <c r="E119" t="s">
        <v>49</v>
      </c>
      <c r="F119" t="s">
        <v>23</v>
      </c>
      <c r="G119">
        <v>2</v>
      </c>
      <c r="H119">
        <v>6858.19</v>
      </c>
      <c r="I119">
        <v>0</v>
      </c>
      <c r="J119">
        <v>13716.38</v>
      </c>
      <c r="K119" t="s">
        <v>32</v>
      </c>
      <c r="L119" t="s">
        <v>18</v>
      </c>
    </row>
    <row r="120" spans="1:12" x14ac:dyDescent="0.3">
      <c r="A120" t="s">
        <v>245</v>
      </c>
      <c r="B120" s="2">
        <v>45712</v>
      </c>
      <c r="C120" t="s">
        <v>246</v>
      </c>
      <c r="D120" t="s">
        <v>14</v>
      </c>
      <c r="E120" t="s">
        <v>62</v>
      </c>
      <c r="F120" t="s">
        <v>23</v>
      </c>
      <c r="G120">
        <v>2</v>
      </c>
      <c r="H120">
        <v>1160.25</v>
      </c>
      <c r="I120">
        <v>0</v>
      </c>
      <c r="J120">
        <v>2320.5</v>
      </c>
      <c r="K120" t="s">
        <v>32</v>
      </c>
      <c r="L120" t="s">
        <v>18</v>
      </c>
    </row>
    <row r="121" spans="1:12" x14ac:dyDescent="0.3">
      <c r="A121" t="s">
        <v>247</v>
      </c>
      <c r="B121" s="2">
        <v>45945</v>
      </c>
      <c r="C121" t="s">
        <v>248</v>
      </c>
      <c r="D121" t="s">
        <v>61</v>
      </c>
      <c r="E121" t="s">
        <v>22</v>
      </c>
      <c r="F121" t="s">
        <v>23</v>
      </c>
      <c r="G121">
        <v>2</v>
      </c>
      <c r="H121">
        <v>5698.09</v>
      </c>
      <c r="I121">
        <v>0.1</v>
      </c>
      <c r="J121">
        <v>10256.56</v>
      </c>
      <c r="K121" t="s">
        <v>37</v>
      </c>
      <c r="L121" t="s">
        <v>18</v>
      </c>
    </row>
    <row r="122" spans="1:12" x14ac:dyDescent="0.3">
      <c r="A122" t="s">
        <v>249</v>
      </c>
      <c r="B122" s="2">
        <v>45985</v>
      </c>
      <c r="C122" t="s">
        <v>44</v>
      </c>
      <c r="D122" t="s">
        <v>27</v>
      </c>
      <c r="E122" t="s">
        <v>62</v>
      </c>
      <c r="F122" t="s">
        <v>23</v>
      </c>
      <c r="G122">
        <v>1</v>
      </c>
      <c r="H122">
        <v>1201.32</v>
      </c>
      <c r="J122">
        <v>1201.32</v>
      </c>
      <c r="K122" t="s">
        <v>17</v>
      </c>
      <c r="L122" t="s">
        <v>29</v>
      </c>
    </row>
    <row r="123" spans="1:12" x14ac:dyDescent="0.3">
      <c r="A123" t="s">
        <v>250</v>
      </c>
      <c r="B123" s="2">
        <v>45745</v>
      </c>
      <c r="C123" t="s">
        <v>251</v>
      </c>
      <c r="D123" t="s">
        <v>48</v>
      </c>
      <c r="E123" t="s">
        <v>22</v>
      </c>
      <c r="F123" t="s">
        <v>23</v>
      </c>
      <c r="G123">
        <v>2</v>
      </c>
      <c r="H123">
        <v>5517.53</v>
      </c>
      <c r="I123">
        <v>0.1</v>
      </c>
      <c r="J123">
        <v>9931.5499999999993</v>
      </c>
      <c r="K123" t="s">
        <v>17</v>
      </c>
      <c r="L123" t="s">
        <v>38</v>
      </c>
    </row>
    <row r="124" spans="1:12" x14ac:dyDescent="0.3">
      <c r="A124" t="s">
        <v>252</v>
      </c>
      <c r="B124" s="2">
        <v>45664</v>
      </c>
      <c r="C124" t="s">
        <v>253</v>
      </c>
      <c r="D124" t="s">
        <v>61</v>
      </c>
      <c r="E124" t="s">
        <v>52</v>
      </c>
      <c r="F124" t="s">
        <v>16</v>
      </c>
      <c r="G124">
        <v>1</v>
      </c>
      <c r="H124">
        <v>7235.99</v>
      </c>
      <c r="I124">
        <v>0.05</v>
      </c>
      <c r="J124">
        <v>6874.19</v>
      </c>
      <c r="K124" t="s">
        <v>37</v>
      </c>
      <c r="L124" t="s">
        <v>18</v>
      </c>
    </row>
    <row r="125" spans="1:12" x14ac:dyDescent="0.3">
      <c r="A125" t="s">
        <v>254</v>
      </c>
      <c r="B125" s="2">
        <v>45659</v>
      </c>
      <c r="C125" t="s">
        <v>88</v>
      </c>
      <c r="D125" t="s">
        <v>61</v>
      </c>
      <c r="E125" t="s">
        <v>56</v>
      </c>
      <c r="F125" t="s">
        <v>16</v>
      </c>
      <c r="G125">
        <v>1</v>
      </c>
      <c r="H125">
        <v>27559.98</v>
      </c>
      <c r="I125">
        <v>0.05</v>
      </c>
      <c r="J125">
        <v>26181.98</v>
      </c>
      <c r="K125" t="s">
        <v>37</v>
      </c>
      <c r="L125" t="s">
        <v>18</v>
      </c>
    </row>
    <row r="126" spans="1:12" x14ac:dyDescent="0.3">
      <c r="A126" t="s">
        <v>255</v>
      </c>
      <c r="B126" s="2">
        <v>45918</v>
      </c>
      <c r="C126" t="s">
        <v>256</v>
      </c>
      <c r="D126" t="s">
        <v>48</v>
      </c>
      <c r="E126" t="s">
        <v>28</v>
      </c>
      <c r="F126" t="s">
        <v>16</v>
      </c>
      <c r="G126">
        <v>1</v>
      </c>
      <c r="H126">
        <v>3051.56</v>
      </c>
      <c r="I126">
        <v>0.05</v>
      </c>
      <c r="J126">
        <v>2898.98</v>
      </c>
      <c r="K126" t="s">
        <v>32</v>
      </c>
      <c r="L126" t="s">
        <v>29</v>
      </c>
    </row>
    <row r="127" spans="1:12" x14ac:dyDescent="0.3">
      <c r="A127" t="s">
        <v>257</v>
      </c>
      <c r="B127" s="2">
        <v>45937</v>
      </c>
      <c r="C127" t="s">
        <v>188</v>
      </c>
      <c r="D127" t="s">
        <v>109</v>
      </c>
      <c r="E127" t="s">
        <v>49</v>
      </c>
      <c r="F127" t="s">
        <v>23</v>
      </c>
      <c r="G127">
        <v>1</v>
      </c>
      <c r="H127">
        <v>6842.69</v>
      </c>
      <c r="I127">
        <v>0.15</v>
      </c>
      <c r="J127">
        <v>5816.29</v>
      </c>
      <c r="K127" t="s">
        <v>24</v>
      </c>
      <c r="L127" t="s">
        <v>18</v>
      </c>
    </row>
    <row r="128" spans="1:12" x14ac:dyDescent="0.3">
      <c r="A128" t="s">
        <v>258</v>
      </c>
      <c r="B128" s="2">
        <v>45671</v>
      </c>
      <c r="C128" t="s">
        <v>259</v>
      </c>
      <c r="D128" t="s">
        <v>109</v>
      </c>
      <c r="E128" t="s">
        <v>22</v>
      </c>
      <c r="F128" t="s">
        <v>23</v>
      </c>
      <c r="G128">
        <v>3</v>
      </c>
      <c r="H128">
        <v>4703.37</v>
      </c>
      <c r="I128">
        <v>0.05</v>
      </c>
      <c r="J128">
        <v>13404.6</v>
      </c>
      <c r="K128" t="s">
        <v>37</v>
      </c>
      <c r="L128" t="s">
        <v>18</v>
      </c>
    </row>
    <row r="129" spans="1:12" x14ac:dyDescent="0.3">
      <c r="A129" t="s">
        <v>260</v>
      </c>
      <c r="B129" s="2">
        <v>45686</v>
      </c>
      <c r="C129" t="s">
        <v>97</v>
      </c>
      <c r="D129" t="s">
        <v>109</v>
      </c>
      <c r="E129" t="s">
        <v>28</v>
      </c>
      <c r="F129" t="s">
        <v>16</v>
      </c>
      <c r="G129">
        <v>2</v>
      </c>
      <c r="H129">
        <v>2964.66</v>
      </c>
      <c r="I129">
        <v>0.05</v>
      </c>
      <c r="J129">
        <v>5632.85</v>
      </c>
      <c r="K129" t="s">
        <v>17</v>
      </c>
      <c r="L129" t="s">
        <v>29</v>
      </c>
    </row>
    <row r="130" spans="1:12" x14ac:dyDescent="0.3">
      <c r="A130" t="s">
        <v>261</v>
      </c>
      <c r="B130" s="2">
        <v>45691</v>
      </c>
      <c r="C130" t="s">
        <v>262</v>
      </c>
      <c r="D130" t="s">
        <v>45</v>
      </c>
      <c r="E130" t="s">
        <v>41</v>
      </c>
      <c r="F130" t="s">
        <v>42</v>
      </c>
      <c r="G130">
        <v>2</v>
      </c>
      <c r="H130">
        <v>1599.39</v>
      </c>
      <c r="I130">
        <v>0.1</v>
      </c>
      <c r="J130">
        <v>2878.9</v>
      </c>
      <c r="K130" t="s">
        <v>37</v>
      </c>
      <c r="L130" t="s">
        <v>18</v>
      </c>
    </row>
    <row r="131" spans="1:12" x14ac:dyDescent="0.3">
      <c r="A131" t="s">
        <v>263</v>
      </c>
      <c r="B131" s="2">
        <v>45944</v>
      </c>
      <c r="C131" t="s">
        <v>264</v>
      </c>
      <c r="D131" t="s">
        <v>14</v>
      </c>
      <c r="E131" t="s">
        <v>84</v>
      </c>
      <c r="F131" t="s">
        <v>42</v>
      </c>
      <c r="G131">
        <v>1</v>
      </c>
      <c r="H131">
        <v>2667.66</v>
      </c>
      <c r="I131">
        <v>0</v>
      </c>
      <c r="J131">
        <v>2667.66</v>
      </c>
      <c r="K131" t="s">
        <v>32</v>
      </c>
      <c r="L131" t="s">
        <v>18</v>
      </c>
    </row>
    <row r="132" spans="1:12" x14ac:dyDescent="0.3">
      <c r="A132" t="s">
        <v>265</v>
      </c>
      <c r="B132" s="2">
        <v>45847</v>
      </c>
      <c r="C132" t="s">
        <v>13</v>
      </c>
      <c r="D132" t="s">
        <v>48</v>
      </c>
      <c r="E132" t="s">
        <v>35</v>
      </c>
      <c r="F132" t="s">
        <v>36</v>
      </c>
      <c r="G132">
        <v>1</v>
      </c>
      <c r="H132">
        <v>1921.72</v>
      </c>
      <c r="I132">
        <v>0.05</v>
      </c>
      <c r="J132">
        <v>1825.63</v>
      </c>
      <c r="K132" t="s">
        <v>32</v>
      </c>
      <c r="L132" t="s">
        <v>18</v>
      </c>
    </row>
    <row r="133" spans="1:12" x14ac:dyDescent="0.3">
      <c r="A133" t="s">
        <v>266</v>
      </c>
      <c r="B133" s="2">
        <v>45686</v>
      </c>
      <c r="C133" t="s">
        <v>267</v>
      </c>
      <c r="D133" t="s">
        <v>14</v>
      </c>
      <c r="E133" t="s">
        <v>52</v>
      </c>
      <c r="F133" t="s">
        <v>16</v>
      </c>
      <c r="G133">
        <v>1</v>
      </c>
      <c r="H133">
        <v>7906.48</v>
      </c>
      <c r="I133">
        <v>0</v>
      </c>
      <c r="J133">
        <v>7906.48</v>
      </c>
      <c r="K133" t="s">
        <v>32</v>
      </c>
      <c r="L133" t="s">
        <v>18</v>
      </c>
    </row>
    <row r="134" spans="1:12" x14ac:dyDescent="0.3">
      <c r="A134" t="s">
        <v>268</v>
      </c>
      <c r="B134" s="2">
        <v>45712</v>
      </c>
      <c r="C134" t="s">
        <v>269</v>
      </c>
      <c r="D134" t="s">
        <v>48</v>
      </c>
      <c r="E134" t="s">
        <v>22</v>
      </c>
      <c r="F134" t="s">
        <v>23</v>
      </c>
      <c r="G134">
        <v>2</v>
      </c>
      <c r="H134">
        <v>5667.28</v>
      </c>
      <c r="I134">
        <v>0.1</v>
      </c>
      <c r="J134">
        <v>10201.1</v>
      </c>
      <c r="K134" t="s">
        <v>24</v>
      </c>
      <c r="L134" t="s">
        <v>29</v>
      </c>
    </row>
    <row r="135" spans="1:12" x14ac:dyDescent="0.3">
      <c r="A135" t="s">
        <v>270</v>
      </c>
      <c r="B135" s="2">
        <v>45994</v>
      </c>
      <c r="C135" t="s">
        <v>31</v>
      </c>
      <c r="D135" t="s">
        <v>14</v>
      </c>
      <c r="E135" t="s">
        <v>28</v>
      </c>
      <c r="F135" t="s">
        <v>16</v>
      </c>
      <c r="G135">
        <v>1</v>
      </c>
      <c r="H135">
        <v>3260.85</v>
      </c>
      <c r="I135">
        <v>0</v>
      </c>
      <c r="J135">
        <v>3260.85</v>
      </c>
      <c r="K135" t="s">
        <v>37</v>
      </c>
      <c r="L135" t="s">
        <v>18</v>
      </c>
    </row>
    <row r="136" spans="1:12" x14ac:dyDescent="0.3">
      <c r="A136" t="s">
        <v>271</v>
      </c>
      <c r="B136" s="2">
        <v>45786</v>
      </c>
      <c r="C136" t="s">
        <v>272</v>
      </c>
      <c r="D136" t="s">
        <v>45</v>
      </c>
      <c r="E136" t="s">
        <v>35</v>
      </c>
      <c r="F136" t="s">
        <v>36</v>
      </c>
      <c r="G136">
        <v>1</v>
      </c>
      <c r="H136">
        <v>1746.55</v>
      </c>
      <c r="I136">
        <v>0</v>
      </c>
      <c r="J136">
        <v>1746.55</v>
      </c>
      <c r="K136" t="s">
        <v>17</v>
      </c>
      <c r="L136" t="s">
        <v>29</v>
      </c>
    </row>
    <row r="137" spans="1:12" x14ac:dyDescent="0.3">
      <c r="A137" t="s">
        <v>273</v>
      </c>
      <c r="B137" s="2">
        <v>45759</v>
      </c>
      <c r="C137" t="s">
        <v>274</v>
      </c>
      <c r="D137" t="s">
        <v>21</v>
      </c>
      <c r="E137" t="s">
        <v>49</v>
      </c>
      <c r="F137" t="s">
        <v>23</v>
      </c>
      <c r="G137">
        <v>1</v>
      </c>
      <c r="H137">
        <v>5853.04</v>
      </c>
      <c r="I137">
        <v>0</v>
      </c>
      <c r="J137">
        <v>5853.04</v>
      </c>
      <c r="K137" t="s">
        <v>17</v>
      </c>
      <c r="L137" t="s">
        <v>18</v>
      </c>
    </row>
    <row r="138" spans="1:12" x14ac:dyDescent="0.3">
      <c r="A138" t="s">
        <v>275</v>
      </c>
      <c r="B138" s="2">
        <v>45960</v>
      </c>
      <c r="C138" t="s">
        <v>276</v>
      </c>
      <c r="D138" t="s">
        <v>48</v>
      </c>
      <c r="E138" t="s">
        <v>41</v>
      </c>
      <c r="F138" t="s">
        <v>42</v>
      </c>
      <c r="G138">
        <v>4</v>
      </c>
      <c r="H138">
        <v>1660.98</v>
      </c>
      <c r="I138">
        <v>0.1</v>
      </c>
      <c r="J138">
        <v>5979.53</v>
      </c>
      <c r="K138" t="s">
        <v>32</v>
      </c>
      <c r="L138" t="s">
        <v>38</v>
      </c>
    </row>
    <row r="139" spans="1:12" x14ac:dyDescent="0.3">
      <c r="A139" t="s">
        <v>277</v>
      </c>
      <c r="B139" s="2">
        <v>45855</v>
      </c>
      <c r="C139" t="s">
        <v>47</v>
      </c>
      <c r="D139" t="s">
        <v>27</v>
      </c>
      <c r="E139" t="s">
        <v>84</v>
      </c>
      <c r="F139" t="s">
        <v>42</v>
      </c>
      <c r="G139">
        <v>3</v>
      </c>
      <c r="H139">
        <v>2907.67</v>
      </c>
      <c r="I139">
        <v>0.1</v>
      </c>
      <c r="J139">
        <v>7850.71</v>
      </c>
      <c r="K139" t="s">
        <v>24</v>
      </c>
      <c r="L139" t="s">
        <v>18</v>
      </c>
    </row>
    <row r="140" spans="1:12" x14ac:dyDescent="0.3">
      <c r="A140" t="s">
        <v>278</v>
      </c>
      <c r="B140" s="2">
        <v>45923</v>
      </c>
      <c r="C140" t="s">
        <v>279</v>
      </c>
      <c r="D140" t="s">
        <v>61</v>
      </c>
      <c r="E140" t="s">
        <v>28</v>
      </c>
      <c r="F140" t="s">
        <v>16</v>
      </c>
      <c r="G140">
        <v>5</v>
      </c>
      <c r="H140">
        <v>2905.23</v>
      </c>
      <c r="I140">
        <v>0.15</v>
      </c>
      <c r="J140">
        <v>12347.23</v>
      </c>
      <c r="K140" t="s">
        <v>37</v>
      </c>
      <c r="L140" t="s">
        <v>18</v>
      </c>
    </row>
    <row r="141" spans="1:12" x14ac:dyDescent="0.3">
      <c r="A141" t="s">
        <v>280</v>
      </c>
      <c r="B141" s="2">
        <v>45794</v>
      </c>
      <c r="C141" t="s">
        <v>281</v>
      </c>
      <c r="D141" t="s">
        <v>109</v>
      </c>
      <c r="E141" t="s">
        <v>62</v>
      </c>
      <c r="F141" t="s">
        <v>23</v>
      </c>
      <c r="G141">
        <v>4</v>
      </c>
      <c r="H141">
        <v>1247.3800000000001</v>
      </c>
      <c r="I141">
        <v>0</v>
      </c>
      <c r="J141">
        <v>4989.5200000000004</v>
      </c>
      <c r="K141" t="s">
        <v>17</v>
      </c>
      <c r="L141" t="s">
        <v>38</v>
      </c>
    </row>
    <row r="142" spans="1:12" x14ac:dyDescent="0.3">
      <c r="A142" t="s">
        <v>282</v>
      </c>
      <c r="B142" s="2">
        <v>45760</v>
      </c>
      <c r="C142" t="s">
        <v>262</v>
      </c>
      <c r="D142" t="s">
        <v>48</v>
      </c>
      <c r="E142" t="s">
        <v>49</v>
      </c>
      <c r="F142" t="s">
        <v>23</v>
      </c>
      <c r="G142">
        <v>3</v>
      </c>
      <c r="H142">
        <v>6264.83</v>
      </c>
      <c r="I142">
        <v>0.15</v>
      </c>
      <c r="J142">
        <v>15975.32</v>
      </c>
      <c r="K142" t="s">
        <v>17</v>
      </c>
      <c r="L142" t="s">
        <v>18</v>
      </c>
    </row>
    <row r="143" spans="1:12" x14ac:dyDescent="0.3">
      <c r="A143" t="s">
        <v>283</v>
      </c>
      <c r="B143" s="2">
        <v>45840</v>
      </c>
      <c r="C143" t="s">
        <v>284</v>
      </c>
      <c r="D143" t="s">
        <v>21</v>
      </c>
      <c r="E143" t="s">
        <v>62</v>
      </c>
      <c r="F143" t="s">
        <v>23</v>
      </c>
      <c r="G143">
        <v>1</v>
      </c>
      <c r="H143">
        <v>1207.26</v>
      </c>
      <c r="I143">
        <v>0.15</v>
      </c>
      <c r="J143">
        <v>1026.17</v>
      </c>
      <c r="K143" t="s">
        <v>17</v>
      </c>
      <c r="L143" t="s">
        <v>18</v>
      </c>
    </row>
    <row r="144" spans="1:12" x14ac:dyDescent="0.3">
      <c r="A144" t="s">
        <v>285</v>
      </c>
      <c r="B144" s="2">
        <v>45673</v>
      </c>
      <c r="C144" t="s">
        <v>286</v>
      </c>
      <c r="D144" t="s">
        <v>21</v>
      </c>
      <c r="E144" t="s">
        <v>62</v>
      </c>
      <c r="F144" t="s">
        <v>23</v>
      </c>
      <c r="G144">
        <v>3</v>
      </c>
      <c r="H144">
        <v>1230.21</v>
      </c>
      <c r="I144">
        <v>0</v>
      </c>
      <c r="J144">
        <v>3690.63</v>
      </c>
      <c r="K144" t="s">
        <v>24</v>
      </c>
      <c r="L144" t="s">
        <v>18</v>
      </c>
    </row>
    <row r="145" spans="1:12" x14ac:dyDescent="0.3">
      <c r="A145" t="s">
        <v>287</v>
      </c>
      <c r="B145" s="2">
        <v>45931</v>
      </c>
      <c r="C145" t="s">
        <v>155</v>
      </c>
      <c r="D145" t="s">
        <v>14</v>
      </c>
      <c r="E145" t="s">
        <v>49</v>
      </c>
      <c r="F145" t="s">
        <v>23</v>
      </c>
      <c r="G145">
        <v>5</v>
      </c>
      <c r="H145">
        <v>6091.11</v>
      </c>
      <c r="I145">
        <v>0</v>
      </c>
      <c r="J145">
        <v>30455.55</v>
      </c>
      <c r="K145" t="s">
        <v>17</v>
      </c>
      <c r="L145" t="s">
        <v>38</v>
      </c>
    </row>
    <row r="146" spans="1:12" x14ac:dyDescent="0.3">
      <c r="A146" t="s">
        <v>288</v>
      </c>
      <c r="B146" s="2">
        <v>45842</v>
      </c>
      <c r="C146" t="s">
        <v>279</v>
      </c>
      <c r="D146" t="s">
        <v>21</v>
      </c>
      <c r="E146" t="s">
        <v>15</v>
      </c>
      <c r="F146" t="s">
        <v>16</v>
      </c>
      <c r="G146">
        <v>2</v>
      </c>
      <c r="H146">
        <v>20915.48</v>
      </c>
      <c r="I146">
        <v>0.05</v>
      </c>
      <c r="J146">
        <v>39739.410000000003</v>
      </c>
      <c r="K146" t="s">
        <v>17</v>
      </c>
      <c r="L146" t="s">
        <v>18</v>
      </c>
    </row>
    <row r="147" spans="1:12" x14ac:dyDescent="0.3">
      <c r="A147" t="s">
        <v>289</v>
      </c>
      <c r="B147" s="2">
        <v>45834</v>
      </c>
      <c r="C147" t="s">
        <v>192</v>
      </c>
      <c r="D147" t="s">
        <v>45</v>
      </c>
      <c r="E147" t="s">
        <v>56</v>
      </c>
      <c r="F147" t="s">
        <v>16</v>
      </c>
      <c r="G147">
        <v>1</v>
      </c>
      <c r="H147">
        <v>29300.720000000001</v>
      </c>
      <c r="I147">
        <v>0.05</v>
      </c>
      <c r="J147">
        <v>27835.68</v>
      </c>
      <c r="K147" t="s">
        <v>24</v>
      </c>
      <c r="L147" t="s">
        <v>18</v>
      </c>
    </row>
    <row r="148" spans="1:12" x14ac:dyDescent="0.3">
      <c r="A148" t="s">
        <v>290</v>
      </c>
      <c r="B148" s="2">
        <v>45730</v>
      </c>
      <c r="C148" t="s">
        <v>291</v>
      </c>
      <c r="D148" t="s">
        <v>27</v>
      </c>
      <c r="E148" t="s">
        <v>22</v>
      </c>
      <c r="F148" t="s">
        <v>23</v>
      </c>
      <c r="G148">
        <v>2</v>
      </c>
      <c r="H148">
        <v>4968.3599999999997</v>
      </c>
      <c r="I148">
        <v>0.05</v>
      </c>
      <c r="J148">
        <v>9439.8799999999992</v>
      </c>
      <c r="K148" t="s">
        <v>37</v>
      </c>
      <c r="L148" t="s">
        <v>29</v>
      </c>
    </row>
    <row r="149" spans="1:12" x14ac:dyDescent="0.3">
      <c r="A149" t="s">
        <v>292</v>
      </c>
      <c r="B149" s="2">
        <v>45855</v>
      </c>
      <c r="C149" t="s">
        <v>293</v>
      </c>
      <c r="D149" t="s">
        <v>61</v>
      </c>
      <c r="E149" t="s">
        <v>28</v>
      </c>
      <c r="F149" t="s">
        <v>16</v>
      </c>
      <c r="G149">
        <v>4</v>
      </c>
      <c r="H149">
        <v>2937.22</v>
      </c>
      <c r="I149">
        <v>0.1</v>
      </c>
      <c r="J149">
        <v>10573.99</v>
      </c>
      <c r="K149" t="s">
        <v>24</v>
      </c>
      <c r="L149" t="s">
        <v>29</v>
      </c>
    </row>
    <row r="150" spans="1:12" x14ac:dyDescent="0.3">
      <c r="A150" t="s">
        <v>294</v>
      </c>
      <c r="B150" s="2">
        <v>45729</v>
      </c>
      <c r="C150" t="s">
        <v>295</v>
      </c>
      <c r="D150" t="s">
        <v>45</v>
      </c>
      <c r="E150" t="s">
        <v>22</v>
      </c>
      <c r="F150" t="s">
        <v>23</v>
      </c>
      <c r="G150">
        <v>5</v>
      </c>
      <c r="H150">
        <v>4747.59</v>
      </c>
      <c r="I150">
        <v>0.1</v>
      </c>
      <c r="J150">
        <v>21364.16</v>
      </c>
      <c r="K150" t="s">
        <v>17</v>
      </c>
      <c r="L150" t="s">
        <v>18</v>
      </c>
    </row>
    <row r="151" spans="1:12" x14ac:dyDescent="0.3">
      <c r="A151" t="s">
        <v>296</v>
      </c>
      <c r="B151" s="2">
        <v>45898</v>
      </c>
      <c r="C151" t="s">
        <v>192</v>
      </c>
      <c r="D151" t="s">
        <v>48</v>
      </c>
      <c r="E151" t="s">
        <v>41</v>
      </c>
      <c r="F151" t="s">
        <v>42</v>
      </c>
      <c r="G151">
        <v>1</v>
      </c>
      <c r="H151">
        <v>1562.91</v>
      </c>
      <c r="I151">
        <v>0</v>
      </c>
      <c r="J151">
        <v>1562.91</v>
      </c>
      <c r="K151" t="s">
        <v>37</v>
      </c>
      <c r="L151" t="s">
        <v>18</v>
      </c>
    </row>
    <row r="152" spans="1:12" x14ac:dyDescent="0.3">
      <c r="A152" t="s">
        <v>297</v>
      </c>
      <c r="B152" s="2">
        <v>45718</v>
      </c>
      <c r="C152" t="s">
        <v>298</v>
      </c>
      <c r="D152" t="s">
        <v>109</v>
      </c>
      <c r="E152" t="s">
        <v>52</v>
      </c>
      <c r="F152" t="s">
        <v>16</v>
      </c>
      <c r="G152">
        <v>3</v>
      </c>
      <c r="H152">
        <v>8242.36</v>
      </c>
      <c r="I152">
        <v>0.15</v>
      </c>
      <c r="J152">
        <v>21018.02</v>
      </c>
      <c r="K152" t="s">
        <v>17</v>
      </c>
      <c r="L152" t="s">
        <v>29</v>
      </c>
    </row>
    <row r="153" spans="1:12" x14ac:dyDescent="0.3">
      <c r="A153" t="s">
        <v>299</v>
      </c>
      <c r="B153" s="2">
        <v>45777</v>
      </c>
      <c r="C153" t="s">
        <v>300</v>
      </c>
      <c r="D153" t="s">
        <v>61</v>
      </c>
      <c r="E153" t="s">
        <v>84</v>
      </c>
      <c r="F153" t="s">
        <v>42</v>
      </c>
      <c r="G153">
        <v>1</v>
      </c>
      <c r="H153">
        <v>2645.69</v>
      </c>
      <c r="I153">
        <v>0.1</v>
      </c>
      <c r="J153">
        <v>2381.12</v>
      </c>
      <c r="K153" t="s">
        <v>37</v>
      </c>
      <c r="L153" t="s">
        <v>29</v>
      </c>
    </row>
    <row r="154" spans="1:12" x14ac:dyDescent="0.3">
      <c r="A154" t="s">
        <v>301</v>
      </c>
      <c r="B154" s="2">
        <v>45686</v>
      </c>
      <c r="C154" t="s">
        <v>302</v>
      </c>
      <c r="D154" t="s">
        <v>14</v>
      </c>
      <c r="E154" t="s">
        <v>35</v>
      </c>
      <c r="F154" t="s">
        <v>36</v>
      </c>
      <c r="G154">
        <v>1</v>
      </c>
      <c r="H154">
        <v>1715.62</v>
      </c>
      <c r="I154">
        <v>0.15</v>
      </c>
      <c r="J154">
        <v>1458.28</v>
      </c>
      <c r="K154" t="s">
        <v>37</v>
      </c>
      <c r="L154" t="s">
        <v>38</v>
      </c>
    </row>
    <row r="155" spans="1:12" x14ac:dyDescent="0.3">
      <c r="A155" t="s">
        <v>303</v>
      </c>
      <c r="B155" s="2">
        <v>45883</v>
      </c>
      <c r="C155" t="s">
        <v>304</v>
      </c>
      <c r="D155" t="s">
        <v>21</v>
      </c>
      <c r="E155" t="s">
        <v>56</v>
      </c>
      <c r="F155" t="s">
        <v>16</v>
      </c>
      <c r="G155">
        <v>1</v>
      </c>
      <c r="H155">
        <v>29317.19</v>
      </c>
      <c r="I155">
        <v>0.15</v>
      </c>
      <c r="J155">
        <v>24919.61</v>
      </c>
      <c r="K155" t="s">
        <v>17</v>
      </c>
      <c r="L155" t="s">
        <v>18</v>
      </c>
    </row>
    <row r="156" spans="1:12" x14ac:dyDescent="0.3">
      <c r="A156" t="s">
        <v>305</v>
      </c>
      <c r="B156" s="2">
        <v>45833</v>
      </c>
      <c r="C156" t="s">
        <v>306</v>
      </c>
      <c r="D156" t="s">
        <v>21</v>
      </c>
      <c r="E156" t="s">
        <v>84</v>
      </c>
      <c r="F156" t="s">
        <v>42</v>
      </c>
      <c r="G156">
        <v>1</v>
      </c>
      <c r="H156">
        <v>3058.79</v>
      </c>
      <c r="I156">
        <v>0.05</v>
      </c>
      <c r="J156">
        <v>2905.85</v>
      </c>
      <c r="K156" t="s">
        <v>37</v>
      </c>
      <c r="L156" t="s">
        <v>38</v>
      </c>
    </row>
    <row r="157" spans="1:12" x14ac:dyDescent="0.3">
      <c r="A157" t="s">
        <v>307</v>
      </c>
      <c r="B157" s="2">
        <v>45980</v>
      </c>
      <c r="C157" t="s">
        <v>308</v>
      </c>
      <c r="D157" t="s">
        <v>109</v>
      </c>
      <c r="E157" t="s">
        <v>56</v>
      </c>
      <c r="F157" t="s">
        <v>16</v>
      </c>
      <c r="G157">
        <v>3</v>
      </c>
      <c r="H157">
        <v>30276.48</v>
      </c>
      <c r="I157">
        <v>0.05</v>
      </c>
      <c r="J157">
        <v>86287.97</v>
      </c>
      <c r="K157" t="s">
        <v>32</v>
      </c>
      <c r="L157" t="s">
        <v>29</v>
      </c>
    </row>
    <row r="158" spans="1:12" x14ac:dyDescent="0.3">
      <c r="A158" t="s">
        <v>309</v>
      </c>
      <c r="B158" s="2">
        <v>46010</v>
      </c>
      <c r="C158" t="s">
        <v>310</v>
      </c>
      <c r="D158" t="s">
        <v>14</v>
      </c>
      <c r="E158" t="s">
        <v>15</v>
      </c>
      <c r="F158" t="s">
        <v>16</v>
      </c>
      <c r="G158">
        <v>3</v>
      </c>
      <c r="H158">
        <v>21665.5</v>
      </c>
      <c r="I158">
        <v>0.1</v>
      </c>
      <c r="J158">
        <v>58496.85</v>
      </c>
      <c r="K158" t="s">
        <v>32</v>
      </c>
      <c r="L158" t="s">
        <v>29</v>
      </c>
    </row>
    <row r="159" spans="1:12" x14ac:dyDescent="0.3">
      <c r="A159" t="s">
        <v>311</v>
      </c>
      <c r="B159" s="2">
        <v>45845</v>
      </c>
      <c r="C159" t="s">
        <v>312</v>
      </c>
      <c r="D159" t="s">
        <v>45</v>
      </c>
      <c r="E159" t="s">
        <v>41</v>
      </c>
      <c r="F159" t="s">
        <v>42</v>
      </c>
      <c r="G159">
        <v>2</v>
      </c>
      <c r="H159">
        <v>1637.96</v>
      </c>
      <c r="I159">
        <v>0.1</v>
      </c>
      <c r="J159">
        <v>2948.33</v>
      </c>
      <c r="K159" t="s">
        <v>17</v>
      </c>
      <c r="L159" t="s">
        <v>38</v>
      </c>
    </row>
    <row r="160" spans="1:12" x14ac:dyDescent="0.3">
      <c r="A160" t="s">
        <v>313</v>
      </c>
      <c r="B160" s="2">
        <v>45815</v>
      </c>
      <c r="C160" t="s">
        <v>293</v>
      </c>
      <c r="D160" t="s">
        <v>61</v>
      </c>
      <c r="E160" t="s">
        <v>49</v>
      </c>
      <c r="F160" t="s">
        <v>23</v>
      </c>
      <c r="G160">
        <v>3</v>
      </c>
      <c r="H160">
        <v>6915.93</v>
      </c>
      <c r="I160">
        <v>0</v>
      </c>
      <c r="J160">
        <v>20747.79</v>
      </c>
      <c r="K160" t="s">
        <v>24</v>
      </c>
      <c r="L160" t="s">
        <v>38</v>
      </c>
    </row>
    <row r="161" spans="1:12" x14ac:dyDescent="0.3">
      <c r="A161" t="s">
        <v>314</v>
      </c>
      <c r="B161" s="2">
        <v>45703</v>
      </c>
      <c r="C161" t="s">
        <v>162</v>
      </c>
      <c r="D161" t="s">
        <v>27</v>
      </c>
      <c r="E161" t="s">
        <v>41</v>
      </c>
      <c r="F161" t="s">
        <v>42</v>
      </c>
      <c r="G161">
        <v>2</v>
      </c>
      <c r="H161">
        <v>1531.85</v>
      </c>
      <c r="I161">
        <v>0</v>
      </c>
      <c r="J161">
        <v>3063.7</v>
      </c>
      <c r="K161" t="s">
        <v>37</v>
      </c>
      <c r="L161" t="s">
        <v>29</v>
      </c>
    </row>
    <row r="162" spans="1:12" x14ac:dyDescent="0.3">
      <c r="A162" t="s">
        <v>315</v>
      </c>
      <c r="B162" s="2">
        <v>45983</v>
      </c>
      <c r="C162" t="s">
        <v>316</v>
      </c>
      <c r="D162" t="s">
        <v>48</v>
      </c>
      <c r="E162" t="s">
        <v>28</v>
      </c>
      <c r="F162" t="s">
        <v>16</v>
      </c>
      <c r="G162">
        <v>2</v>
      </c>
      <c r="H162">
        <v>3379.1</v>
      </c>
      <c r="I162">
        <v>0.05</v>
      </c>
      <c r="J162">
        <v>6420.29</v>
      </c>
      <c r="K162" t="s">
        <v>17</v>
      </c>
      <c r="L162" t="s">
        <v>18</v>
      </c>
    </row>
    <row r="163" spans="1:12" x14ac:dyDescent="0.3">
      <c r="A163" t="s">
        <v>317</v>
      </c>
      <c r="B163" s="2">
        <v>45935</v>
      </c>
      <c r="C163" t="s">
        <v>318</v>
      </c>
      <c r="D163" t="s">
        <v>21</v>
      </c>
      <c r="E163" t="s">
        <v>52</v>
      </c>
      <c r="F163" t="s">
        <v>16</v>
      </c>
      <c r="G163">
        <v>1</v>
      </c>
      <c r="H163">
        <v>8148.04</v>
      </c>
      <c r="I163">
        <v>0.1</v>
      </c>
      <c r="J163">
        <v>7333.24</v>
      </c>
      <c r="K163" t="s">
        <v>32</v>
      </c>
      <c r="L163" t="s">
        <v>29</v>
      </c>
    </row>
    <row r="164" spans="1:12" x14ac:dyDescent="0.3">
      <c r="A164" t="s">
        <v>319</v>
      </c>
      <c r="B164" s="2">
        <v>45850</v>
      </c>
      <c r="C164" t="s">
        <v>185</v>
      </c>
      <c r="D164" t="s">
        <v>109</v>
      </c>
      <c r="E164" t="s">
        <v>52</v>
      </c>
      <c r="F164" t="s">
        <v>16</v>
      </c>
      <c r="G164">
        <v>1</v>
      </c>
      <c r="H164">
        <v>7812.86</v>
      </c>
      <c r="I164">
        <v>0.1</v>
      </c>
      <c r="J164">
        <v>7031.57</v>
      </c>
      <c r="K164" t="s">
        <v>32</v>
      </c>
      <c r="L164" t="s">
        <v>18</v>
      </c>
    </row>
    <row r="165" spans="1:12" x14ac:dyDescent="0.3">
      <c r="A165" t="s">
        <v>320</v>
      </c>
      <c r="B165" s="2">
        <v>45884</v>
      </c>
      <c r="C165" t="s">
        <v>73</v>
      </c>
      <c r="D165" t="s">
        <v>45</v>
      </c>
      <c r="E165" t="s">
        <v>22</v>
      </c>
      <c r="F165" t="s">
        <v>23</v>
      </c>
      <c r="G165">
        <v>5</v>
      </c>
      <c r="H165">
        <v>5459.64</v>
      </c>
      <c r="I165">
        <v>0.2</v>
      </c>
      <c r="J165">
        <v>21838.560000000001</v>
      </c>
      <c r="K165" t="s">
        <v>32</v>
      </c>
      <c r="L165" t="s">
        <v>18</v>
      </c>
    </row>
    <row r="166" spans="1:12" x14ac:dyDescent="0.3">
      <c r="A166" t="s">
        <v>321</v>
      </c>
      <c r="B166" s="2">
        <v>45715</v>
      </c>
      <c r="C166" t="s">
        <v>284</v>
      </c>
      <c r="D166" t="s">
        <v>109</v>
      </c>
      <c r="E166" t="s">
        <v>56</v>
      </c>
      <c r="F166" t="s">
        <v>16</v>
      </c>
      <c r="G166">
        <v>1</v>
      </c>
      <c r="H166">
        <v>29514.28</v>
      </c>
      <c r="I166">
        <v>0.05</v>
      </c>
      <c r="J166">
        <v>28038.57</v>
      </c>
      <c r="K166" t="s">
        <v>24</v>
      </c>
      <c r="L166" t="s">
        <v>18</v>
      </c>
    </row>
    <row r="167" spans="1:12" x14ac:dyDescent="0.3">
      <c r="A167" t="s">
        <v>322</v>
      </c>
      <c r="B167" s="2">
        <v>45942</v>
      </c>
      <c r="C167" t="s">
        <v>134</v>
      </c>
      <c r="D167" t="s">
        <v>14</v>
      </c>
      <c r="E167" t="s">
        <v>52</v>
      </c>
      <c r="F167" t="s">
        <v>16</v>
      </c>
      <c r="G167">
        <v>1</v>
      </c>
      <c r="H167">
        <v>6995.44</v>
      </c>
      <c r="I167">
        <v>0.05</v>
      </c>
      <c r="J167">
        <v>6645.67</v>
      </c>
      <c r="K167" t="s">
        <v>32</v>
      </c>
      <c r="L167" t="s">
        <v>38</v>
      </c>
    </row>
    <row r="168" spans="1:12" x14ac:dyDescent="0.3">
      <c r="A168" t="s">
        <v>323</v>
      </c>
      <c r="B168" s="2">
        <v>45893</v>
      </c>
      <c r="C168" t="s">
        <v>75</v>
      </c>
      <c r="D168" t="s">
        <v>21</v>
      </c>
      <c r="E168" t="s">
        <v>41</v>
      </c>
      <c r="F168" t="s">
        <v>42</v>
      </c>
      <c r="G168">
        <v>1</v>
      </c>
      <c r="H168">
        <v>1717.78</v>
      </c>
      <c r="I168">
        <v>0</v>
      </c>
      <c r="J168">
        <v>1717.78</v>
      </c>
      <c r="K168" t="s">
        <v>37</v>
      </c>
      <c r="L168" t="s">
        <v>38</v>
      </c>
    </row>
    <row r="169" spans="1:12" x14ac:dyDescent="0.3">
      <c r="A169" t="s">
        <v>324</v>
      </c>
      <c r="B169" s="2">
        <v>45914</v>
      </c>
      <c r="C169" t="s">
        <v>104</v>
      </c>
      <c r="D169" t="s">
        <v>21</v>
      </c>
      <c r="E169" t="s">
        <v>49</v>
      </c>
      <c r="F169" t="s">
        <v>23</v>
      </c>
      <c r="G169">
        <v>2</v>
      </c>
      <c r="H169">
        <v>6206.48</v>
      </c>
      <c r="I169">
        <v>0.05</v>
      </c>
      <c r="J169">
        <v>11792.31</v>
      </c>
      <c r="K169" t="s">
        <v>24</v>
      </c>
      <c r="L169" t="s">
        <v>18</v>
      </c>
    </row>
    <row r="170" spans="1:12" x14ac:dyDescent="0.3">
      <c r="A170" t="s">
        <v>325</v>
      </c>
      <c r="B170" s="2">
        <v>45928</v>
      </c>
      <c r="C170" t="s">
        <v>326</v>
      </c>
      <c r="D170" t="s">
        <v>14</v>
      </c>
      <c r="E170" t="s">
        <v>28</v>
      </c>
      <c r="F170" t="s">
        <v>16</v>
      </c>
      <c r="G170">
        <v>1</v>
      </c>
      <c r="H170">
        <v>3115.86</v>
      </c>
      <c r="I170">
        <v>0.1</v>
      </c>
      <c r="J170">
        <v>2804.27</v>
      </c>
      <c r="K170" t="s">
        <v>32</v>
      </c>
      <c r="L170" t="s">
        <v>18</v>
      </c>
    </row>
    <row r="171" spans="1:12" x14ac:dyDescent="0.3">
      <c r="A171" t="s">
        <v>327</v>
      </c>
      <c r="B171" s="2">
        <v>45707</v>
      </c>
      <c r="C171" t="s">
        <v>83</v>
      </c>
      <c r="D171" t="s">
        <v>14</v>
      </c>
      <c r="E171" t="s">
        <v>28</v>
      </c>
      <c r="F171" t="s">
        <v>16</v>
      </c>
      <c r="G171">
        <v>1</v>
      </c>
      <c r="H171">
        <v>3170.36</v>
      </c>
      <c r="I171">
        <v>0</v>
      </c>
      <c r="J171">
        <v>3170.36</v>
      </c>
      <c r="K171" t="s">
        <v>37</v>
      </c>
      <c r="L171" t="s">
        <v>18</v>
      </c>
    </row>
    <row r="172" spans="1:12" x14ac:dyDescent="0.3">
      <c r="A172" t="s">
        <v>328</v>
      </c>
      <c r="B172" s="2">
        <v>45810</v>
      </c>
      <c r="C172" t="s">
        <v>329</v>
      </c>
      <c r="D172" t="s">
        <v>61</v>
      </c>
      <c r="E172" t="s">
        <v>56</v>
      </c>
      <c r="F172" t="s">
        <v>16</v>
      </c>
      <c r="G172">
        <v>4</v>
      </c>
      <c r="H172">
        <v>29660.61</v>
      </c>
      <c r="I172">
        <v>0.1</v>
      </c>
      <c r="J172">
        <v>106778.2</v>
      </c>
      <c r="K172" t="s">
        <v>37</v>
      </c>
      <c r="L172" t="s">
        <v>29</v>
      </c>
    </row>
    <row r="173" spans="1:12" x14ac:dyDescent="0.3">
      <c r="A173" t="s">
        <v>330</v>
      </c>
      <c r="B173" s="2">
        <v>45871</v>
      </c>
      <c r="C173" t="s">
        <v>331</v>
      </c>
      <c r="D173" t="s">
        <v>109</v>
      </c>
      <c r="E173" t="s">
        <v>28</v>
      </c>
      <c r="F173" t="s">
        <v>16</v>
      </c>
      <c r="G173">
        <v>2</v>
      </c>
      <c r="H173">
        <v>2982.93</v>
      </c>
      <c r="I173">
        <v>0</v>
      </c>
      <c r="J173">
        <v>5965.86</v>
      </c>
      <c r="K173" t="s">
        <v>32</v>
      </c>
      <c r="L173" t="s">
        <v>18</v>
      </c>
    </row>
    <row r="174" spans="1:12" x14ac:dyDescent="0.3">
      <c r="A174" t="s">
        <v>332</v>
      </c>
      <c r="B174" s="2">
        <v>45995</v>
      </c>
      <c r="C174" t="s">
        <v>333</v>
      </c>
      <c r="D174" t="s">
        <v>61</v>
      </c>
      <c r="E174" t="s">
        <v>52</v>
      </c>
      <c r="F174" t="s">
        <v>16</v>
      </c>
      <c r="G174">
        <v>1</v>
      </c>
      <c r="H174">
        <v>7770.68</v>
      </c>
      <c r="I174">
        <v>0.05</v>
      </c>
      <c r="J174">
        <v>7382.15</v>
      </c>
      <c r="K174" t="s">
        <v>17</v>
      </c>
      <c r="L174" t="s">
        <v>29</v>
      </c>
    </row>
    <row r="175" spans="1:12" x14ac:dyDescent="0.3">
      <c r="A175" t="s">
        <v>334</v>
      </c>
      <c r="B175" s="2">
        <v>45924</v>
      </c>
      <c r="C175" t="s">
        <v>198</v>
      </c>
      <c r="D175" t="s">
        <v>14</v>
      </c>
      <c r="E175" t="s">
        <v>35</v>
      </c>
      <c r="F175" t="s">
        <v>36</v>
      </c>
      <c r="G175">
        <v>2</v>
      </c>
      <c r="H175">
        <v>1946.81</v>
      </c>
      <c r="J175">
        <v>3114.9</v>
      </c>
      <c r="K175" t="s">
        <v>32</v>
      </c>
      <c r="L175" t="s">
        <v>18</v>
      </c>
    </row>
    <row r="176" spans="1:12" x14ac:dyDescent="0.3">
      <c r="A176" t="s">
        <v>335</v>
      </c>
      <c r="B176" s="2">
        <v>45749</v>
      </c>
      <c r="C176" t="s">
        <v>295</v>
      </c>
      <c r="D176" t="s">
        <v>27</v>
      </c>
      <c r="E176" t="s">
        <v>56</v>
      </c>
      <c r="F176" t="s">
        <v>16</v>
      </c>
      <c r="G176">
        <v>2</v>
      </c>
      <c r="H176">
        <v>27901.200000000001</v>
      </c>
      <c r="I176">
        <v>0</v>
      </c>
      <c r="J176">
        <v>55802.400000000001</v>
      </c>
      <c r="K176" t="s">
        <v>24</v>
      </c>
      <c r="L176" t="s">
        <v>29</v>
      </c>
    </row>
    <row r="177" spans="1:12" x14ac:dyDescent="0.3">
      <c r="A177" t="s">
        <v>336</v>
      </c>
      <c r="B177" s="2">
        <v>45734</v>
      </c>
      <c r="C177" t="s">
        <v>337</v>
      </c>
      <c r="D177" t="s">
        <v>109</v>
      </c>
      <c r="E177" t="s">
        <v>52</v>
      </c>
      <c r="F177" t="s">
        <v>16</v>
      </c>
      <c r="G177">
        <v>1</v>
      </c>
      <c r="H177">
        <v>8073.8</v>
      </c>
      <c r="I177">
        <v>0.05</v>
      </c>
      <c r="J177">
        <v>7670.11</v>
      </c>
      <c r="K177" t="s">
        <v>24</v>
      </c>
      <c r="L177" t="s">
        <v>18</v>
      </c>
    </row>
    <row r="178" spans="1:12" x14ac:dyDescent="0.3">
      <c r="A178" t="s">
        <v>338</v>
      </c>
      <c r="B178" s="2">
        <v>45763</v>
      </c>
      <c r="C178" t="s">
        <v>339</v>
      </c>
      <c r="D178" t="s">
        <v>21</v>
      </c>
      <c r="E178" t="s">
        <v>52</v>
      </c>
      <c r="F178" t="s">
        <v>16</v>
      </c>
      <c r="G178">
        <v>1</v>
      </c>
      <c r="H178">
        <v>7982.16</v>
      </c>
      <c r="I178">
        <v>0.1</v>
      </c>
      <c r="J178">
        <v>7183.94</v>
      </c>
      <c r="K178" t="s">
        <v>37</v>
      </c>
      <c r="L178" t="s">
        <v>38</v>
      </c>
    </row>
    <row r="179" spans="1:12" x14ac:dyDescent="0.3">
      <c r="A179" t="s">
        <v>340</v>
      </c>
      <c r="B179" s="2">
        <v>45880</v>
      </c>
      <c r="C179" t="s">
        <v>155</v>
      </c>
      <c r="D179" t="s">
        <v>27</v>
      </c>
      <c r="E179" t="s">
        <v>56</v>
      </c>
      <c r="F179" t="s">
        <v>16</v>
      </c>
      <c r="G179">
        <v>3</v>
      </c>
      <c r="H179">
        <v>28652.99</v>
      </c>
      <c r="I179">
        <v>0.05</v>
      </c>
      <c r="J179">
        <v>81661.02</v>
      </c>
      <c r="K179" t="s">
        <v>24</v>
      </c>
      <c r="L179" t="s">
        <v>38</v>
      </c>
    </row>
    <row r="180" spans="1:12" x14ac:dyDescent="0.3">
      <c r="A180" t="s">
        <v>341</v>
      </c>
      <c r="B180" s="2">
        <v>45664</v>
      </c>
      <c r="C180" t="s">
        <v>342</v>
      </c>
      <c r="D180" t="s">
        <v>21</v>
      </c>
      <c r="E180" t="s">
        <v>52</v>
      </c>
      <c r="F180" t="s">
        <v>16</v>
      </c>
      <c r="G180">
        <v>2</v>
      </c>
      <c r="H180">
        <v>7668.39</v>
      </c>
      <c r="I180">
        <v>0.1</v>
      </c>
      <c r="J180">
        <v>13803.1</v>
      </c>
      <c r="K180" t="s">
        <v>32</v>
      </c>
      <c r="L180" t="s">
        <v>18</v>
      </c>
    </row>
    <row r="181" spans="1:12" x14ac:dyDescent="0.3">
      <c r="A181" t="s">
        <v>343</v>
      </c>
      <c r="B181" s="2">
        <v>46019</v>
      </c>
      <c r="C181" t="s">
        <v>190</v>
      </c>
      <c r="D181" t="s">
        <v>14</v>
      </c>
      <c r="E181" t="s">
        <v>41</v>
      </c>
      <c r="F181" t="s">
        <v>42</v>
      </c>
      <c r="G181">
        <v>1</v>
      </c>
      <c r="H181">
        <v>1608.45</v>
      </c>
      <c r="I181">
        <v>0.1</v>
      </c>
      <c r="J181">
        <v>1447.6</v>
      </c>
      <c r="K181" t="s">
        <v>24</v>
      </c>
      <c r="L181" t="s">
        <v>18</v>
      </c>
    </row>
    <row r="182" spans="1:12" x14ac:dyDescent="0.3">
      <c r="A182" t="s">
        <v>344</v>
      </c>
      <c r="B182" s="2">
        <v>45712</v>
      </c>
      <c r="C182" t="s">
        <v>345</v>
      </c>
      <c r="D182" t="s">
        <v>45</v>
      </c>
      <c r="E182" t="s">
        <v>28</v>
      </c>
      <c r="F182" t="s">
        <v>16</v>
      </c>
      <c r="G182">
        <v>1</v>
      </c>
      <c r="H182">
        <v>3020.3</v>
      </c>
      <c r="I182">
        <v>0.15</v>
      </c>
      <c r="J182">
        <v>2567.2600000000002</v>
      </c>
      <c r="K182" t="s">
        <v>32</v>
      </c>
      <c r="L182" t="s">
        <v>38</v>
      </c>
    </row>
    <row r="183" spans="1:12" x14ac:dyDescent="0.3">
      <c r="A183" t="s">
        <v>346</v>
      </c>
      <c r="B183" s="2">
        <v>45868</v>
      </c>
      <c r="C183" t="s">
        <v>347</v>
      </c>
      <c r="D183" t="s">
        <v>45</v>
      </c>
      <c r="E183" t="s">
        <v>49</v>
      </c>
      <c r="F183" t="s">
        <v>23</v>
      </c>
      <c r="G183">
        <v>1</v>
      </c>
      <c r="H183">
        <v>5877.12</v>
      </c>
      <c r="I183">
        <v>0</v>
      </c>
      <c r="J183">
        <v>5877.12</v>
      </c>
      <c r="K183" t="s">
        <v>32</v>
      </c>
      <c r="L183" t="s">
        <v>18</v>
      </c>
    </row>
    <row r="184" spans="1:12" x14ac:dyDescent="0.3">
      <c r="A184" t="s">
        <v>348</v>
      </c>
      <c r="B184" s="2">
        <v>45864</v>
      </c>
      <c r="C184" t="s">
        <v>349</v>
      </c>
      <c r="D184" t="s">
        <v>61</v>
      </c>
      <c r="E184" t="s">
        <v>62</v>
      </c>
      <c r="F184" t="s">
        <v>23</v>
      </c>
      <c r="G184">
        <v>1</v>
      </c>
      <c r="H184">
        <v>1132.93</v>
      </c>
      <c r="J184">
        <v>1076.28</v>
      </c>
      <c r="K184" t="s">
        <v>32</v>
      </c>
      <c r="L184" t="s">
        <v>18</v>
      </c>
    </row>
    <row r="185" spans="1:12" x14ac:dyDescent="0.3">
      <c r="A185" t="s">
        <v>350</v>
      </c>
      <c r="B185" s="2">
        <v>45877</v>
      </c>
      <c r="C185" t="s">
        <v>351</v>
      </c>
      <c r="D185" t="s">
        <v>48</v>
      </c>
      <c r="E185" t="s">
        <v>52</v>
      </c>
      <c r="F185" t="s">
        <v>16</v>
      </c>
      <c r="G185">
        <v>1</v>
      </c>
      <c r="H185">
        <v>7693.15</v>
      </c>
      <c r="I185">
        <v>0.15</v>
      </c>
      <c r="J185">
        <v>6539.18</v>
      </c>
      <c r="K185" t="s">
        <v>32</v>
      </c>
      <c r="L185" t="s">
        <v>18</v>
      </c>
    </row>
    <row r="186" spans="1:12" x14ac:dyDescent="0.3">
      <c r="A186" t="s">
        <v>352</v>
      </c>
      <c r="B186" s="2">
        <v>46011</v>
      </c>
      <c r="C186" t="s">
        <v>225</v>
      </c>
      <c r="D186" t="s">
        <v>61</v>
      </c>
      <c r="E186" t="s">
        <v>62</v>
      </c>
      <c r="F186" t="s">
        <v>23</v>
      </c>
      <c r="G186">
        <v>2</v>
      </c>
      <c r="H186">
        <v>1087.05</v>
      </c>
      <c r="I186">
        <v>0.05</v>
      </c>
      <c r="J186">
        <v>2065.4</v>
      </c>
      <c r="K186" t="s">
        <v>24</v>
      </c>
      <c r="L186" t="s">
        <v>29</v>
      </c>
    </row>
    <row r="187" spans="1:12" x14ac:dyDescent="0.3">
      <c r="A187" t="s">
        <v>353</v>
      </c>
      <c r="B187" s="2">
        <v>45788</v>
      </c>
      <c r="C187" t="s">
        <v>34</v>
      </c>
      <c r="D187" t="s">
        <v>45</v>
      </c>
      <c r="E187" t="s">
        <v>35</v>
      </c>
      <c r="F187" t="s">
        <v>36</v>
      </c>
      <c r="G187">
        <v>5</v>
      </c>
      <c r="H187">
        <v>1749.29</v>
      </c>
      <c r="I187">
        <v>0</v>
      </c>
      <c r="J187">
        <v>8746.4500000000007</v>
      </c>
      <c r="K187" t="s">
        <v>17</v>
      </c>
      <c r="L187" t="s">
        <v>18</v>
      </c>
    </row>
    <row r="188" spans="1:12" x14ac:dyDescent="0.3">
      <c r="A188" t="s">
        <v>354</v>
      </c>
      <c r="B188" s="2">
        <v>45671</v>
      </c>
      <c r="C188" t="s">
        <v>251</v>
      </c>
      <c r="D188" t="s">
        <v>109</v>
      </c>
      <c r="E188" t="s">
        <v>41</v>
      </c>
      <c r="F188" t="s">
        <v>42</v>
      </c>
      <c r="G188">
        <v>1</v>
      </c>
      <c r="H188">
        <v>1642.41</v>
      </c>
      <c r="I188">
        <v>0.1</v>
      </c>
      <c r="J188">
        <v>1478.17</v>
      </c>
      <c r="K188" t="s">
        <v>17</v>
      </c>
      <c r="L188" t="s">
        <v>18</v>
      </c>
    </row>
    <row r="189" spans="1:12" x14ac:dyDescent="0.3">
      <c r="A189" t="s">
        <v>355</v>
      </c>
      <c r="B189" s="2">
        <v>45671</v>
      </c>
      <c r="C189" t="s">
        <v>272</v>
      </c>
      <c r="D189" t="s">
        <v>21</v>
      </c>
      <c r="E189" t="s">
        <v>56</v>
      </c>
      <c r="F189" t="s">
        <v>16</v>
      </c>
      <c r="G189">
        <v>1</v>
      </c>
      <c r="H189">
        <v>27468.12</v>
      </c>
      <c r="I189">
        <v>0</v>
      </c>
      <c r="J189">
        <v>27468.12</v>
      </c>
      <c r="K189" t="s">
        <v>24</v>
      </c>
      <c r="L189" t="s">
        <v>18</v>
      </c>
    </row>
    <row r="190" spans="1:12" x14ac:dyDescent="0.3">
      <c r="A190" t="s">
        <v>356</v>
      </c>
      <c r="B190" s="2">
        <v>45918</v>
      </c>
      <c r="C190" t="s">
        <v>173</v>
      </c>
      <c r="D190" t="s">
        <v>21</v>
      </c>
      <c r="E190" t="s">
        <v>35</v>
      </c>
      <c r="F190" t="s">
        <v>36</v>
      </c>
      <c r="G190">
        <v>1</v>
      </c>
      <c r="H190">
        <v>1928.88</v>
      </c>
      <c r="I190">
        <v>0.05</v>
      </c>
      <c r="J190">
        <v>1832.44</v>
      </c>
      <c r="K190" t="s">
        <v>32</v>
      </c>
      <c r="L190" t="s">
        <v>18</v>
      </c>
    </row>
    <row r="191" spans="1:12" x14ac:dyDescent="0.3">
      <c r="A191" t="s">
        <v>357</v>
      </c>
      <c r="B191" s="2">
        <v>45737</v>
      </c>
      <c r="C191" t="s">
        <v>170</v>
      </c>
      <c r="D191" t="s">
        <v>45</v>
      </c>
      <c r="E191" t="s">
        <v>28</v>
      </c>
      <c r="F191" t="s">
        <v>16</v>
      </c>
      <c r="G191">
        <v>1</v>
      </c>
      <c r="H191">
        <v>3162.9</v>
      </c>
      <c r="I191">
        <v>0.15</v>
      </c>
      <c r="J191">
        <v>2688.46</v>
      </c>
      <c r="K191" t="s">
        <v>24</v>
      </c>
      <c r="L191" t="s">
        <v>29</v>
      </c>
    </row>
    <row r="192" spans="1:12" x14ac:dyDescent="0.3">
      <c r="A192" t="s">
        <v>358</v>
      </c>
      <c r="B192" s="2">
        <v>45970</v>
      </c>
      <c r="C192" t="s">
        <v>200</v>
      </c>
      <c r="D192" t="s">
        <v>48</v>
      </c>
      <c r="E192" t="s">
        <v>28</v>
      </c>
      <c r="F192" t="s">
        <v>16</v>
      </c>
      <c r="G192">
        <v>1</v>
      </c>
      <c r="H192">
        <v>3487.09</v>
      </c>
      <c r="I192">
        <v>0.05</v>
      </c>
      <c r="J192">
        <v>3312.74</v>
      </c>
      <c r="K192" t="s">
        <v>32</v>
      </c>
      <c r="L192" t="s">
        <v>18</v>
      </c>
    </row>
    <row r="193" spans="1:12" x14ac:dyDescent="0.3">
      <c r="A193" t="s">
        <v>359</v>
      </c>
      <c r="B193" s="2">
        <v>45777</v>
      </c>
      <c r="C193" t="s">
        <v>360</v>
      </c>
      <c r="D193" t="s">
        <v>21</v>
      </c>
      <c r="E193" t="s">
        <v>35</v>
      </c>
      <c r="F193" t="s">
        <v>36</v>
      </c>
      <c r="G193">
        <v>1</v>
      </c>
      <c r="H193">
        <v>1901.44</v>
      </c>
      <c r="I193">
        <v>0.05</v>
      </c>
      <c r="J193">
        <v>1806.37</v>
      </c>
      <c r="K193" t="s">
        <v>17</v>
      </c>
      <c r="L193" t="s">
        <v>38</v>
      </c>
    </row>
    <row r="194" spans="1:12" x14ac:dyDescent="0.3">
      <c r="A194" t="s">
        <v>361</v>
      </c>
      <c r="B194" s="2">
        <v>45950</v>
      </c>
      <c r="C194" t="s">
        <v>157</v>
      </c>
      <c r="D194" t="s">
        <v>109</v>
      </c>
      <c r="E194" t="s">
        <v>28</v>
      </c>
      <c r="F194" t="s">
        <v>16</v>
      </c>
      <c r="G194">
        <v>1</v>
      </c>
      <c r="H194">
        <v>2916.54</v>
      </c>
      <c r="I194">
        <v>0</v>
      </c>
      <c r="J194">
        <v>2916.54</v>
      </c>
      <c r="K194" t="s">
        <v>37</v>
      </c>
      <c r="L194" t="s">
        <v>29</v>
      </c>
    </row>
    <row r="195" spans="1:12" x14ac:dyDescent="0.3">
      <c r="A195" t="s">
        <v>362</v>
      </c>
      <c r="B195" s="2">
        <v>45836</v>
      </c>
      <c r="C195" t="s">
        <v>329</v>
      </c>
      <c r="D195" t="s">
        <v>21</v>
      </c>
      <c r="E195" t="s">
        <v>28</v>
      </c>
      <c r="F195" t="s">
        <v>16</v>
      </c>
      <c r="G195">
        <v>1</v>
      </c>
      <c r="H195">
        <v>2946.12</v>
      </c>
      <c r="I195">
        <v>0</v>
      </c>
      <c r="J195">
        <v>2946.12</v>
      </c>
      <c r="K195" t="s">
        <v>24</v>
      </c>
      <c r="L195" t="s">
        <v>18</v>
      </c>
    </row>
    <row r="196" spans="1:12" x14ac:dyDescent="0.3">
      <c r="A196" t="s">
        <v>363</v>
      </c>
      <c r="B196" s="2">
        <v>45942</v>
      </c>
      <c r="C196" t="s">
        <v>122</v>
      </c>
      <c r="D196" t="s">
        <v>61</v>
      </c>
      <c r="E196" t="s">
        <v>49</v>
      </c>
      <c r="F196" t="s">
        <v>23</v>
      </c>
      <c r="G196">
        <v>2</v>
      </c>
      <c r="H196">
        <v>6270.07</v>
      </c>
      <c r="I196">
        <v>0</v>
      </c>
      <c r="J196">
        <v>12540.14</v>
      </c>
      <c r="K196" t="s">
        <v>17</v>
      </c>
      <c r="L196" t="s">
        <v>18</v>
      </c>
    </row>
    <row r="197" spans="1:12" x14ac:dyDescent="0.3">
      <c r="A197" t="s">
        <v>364</v>
      </c>
      <c r="B197" s="2">
        <v>45783</v>
      </c>
      <c r="C197" t="s">
        <v>365</v>
      </c>
      <c r="D197" t="s">
        <v>21</v>
      </c>
      <c r="E197" t="s">
        <v>62</v>
      </c>
      <c r="F197" t="s">
        <v>23</v>
      </c>
      <c r="G197">
        <v>1</v>
      </c>
      <c r="H197">
        <v>1110.18</v>
      </c>
      <c r="I197">
        <v>0.05</v>
      </c>
      <c r="J197">
        <v>1054.67</v>
      </c>
      <c r="K197" t="s">
        <v>32</v>
      </c>
      <c r="L197" t="s">
        <v>38</v>
      </c>
    </row>
    <row r="198" spans="1:12" x14ac:dyDescent="0.3">
      <c r="A198" t="s">
        <v>366</v>
      </c>
      <c r="B198" s="2">
        <v>45814</v>
      </c>
      <c r="C198" t="s">
        <v>367</v>
      </c>
      <c r="D198" t="s">
        <v>48</v>
      </c>
      <c r="E198" t="s">
        <v>84</v>
      </c>
      <c r="F198" t="s">
        <v>42</v>
      </c>
      <c r="G198">
        <v>1</v>
      </c>
      <c r="H198">
        <v>2929.26</v>
      </c>
      <c r="I198">
        <v>0</v>
      </c>
      <c r="J198">
        <v>2929.26</v>
      </c>
      <c r="K198" t="s">
        <v>37</v>
      </c>
      <c r="L198" t="s">
        <v>38</v>
      </c>
    </row>
    <row r="199" spans="1:12" x14ac:dyDescent="0.3">
      <c r="A199" t="s">
        <v>368</v>
      </c>
      <c r="B199" s="2">
        <v>45771</v>
      </c>
      <c r="C199" t="s">
        <v>369</v>
      </c>
      <c r="D199" t="s">
        <v>27</v>
      </c>
      <c r="E199" t="s">
        <v>28</v>
      </c>
      <c r="F199" t="s">
        <v>16</v>
      </c>
      <c r="G199">
        <v>2</v>
      </c>
      <c r="H199">
        <v>3119.55</v>
      </c>
      <c r="I199">
        <v>0.2</v>
      </c>
      <c r="J199">
        <v>4991.28</v>
      </c>
      <c r="K199" t="s">
        <v>24</v>
      </c>
      <c r="L199" t="s">
        <v>38</v>
      </c>
    </row>
    <row r="200" spans="1:12" x14ac:dyDescent="0.3">
      <c r="A200" t="s">
        <v>370</v>
      </c>
      <c r="B200" s="2">
        <v>45946</v>
      </c>
      <c r="C200" t="s">
        <v>214</v>
      </c>
      <c r="D200" t="s">
        <v>14</v>
      </c>
      <c r="E200" t="s">
        <v>35</v>
      </c>
      <c r="F200" t="s">
        <v>36</v>
      </c>
      <c r="G200">
        <v>1</v>
      </c>
      <c r="H200">
        <v>1868.23</v>
      </c>
      <c r="I200">
        <v>0.15</v>
      </c>
      <c r="J200">
        <v>1588</v>
      </c>
      <c r="K200" t="s">
        <v>17</v>
      </c>
      <c r="L200" t="s">
        <v>29</v>
      </c>
    </row>
    <row r="201" spans="1:12" x14ac:dyDescent="0.3">
      <c r="A201" t="s">
        <v>371</v>
      </c>
      <c r="B201" s="2">
        <v>45849</v>
      </c>
      <c r="C201" t="s">
        <v>372</v>
      </c>
      <c r="D201" t="s">
        <v>61</v>
      </c>
      <c r="E201" t="s">
        <v>49</v>
      </c>
      <c r="F201" t="s">
        <v>23</v>
      </c>
      <c r="G201">
        <v>2</v>
      </c>
      <c r="H201">
        <v>6705.2</v>
      </c>
      <c r="I201">
        <v>0</v>
      </c>
      <c r="J201">
        <v>13410.4</v>
      </c>
      <c r="K201" t="s">
        <v>37</v>
      </c>
      <c r="L201" t="s">
        <v>38</v>
      </c>
    </row>
    <row r="202" spans="1:12" x14ac:dyDescent="0.3">
      <c r="A202" t="s">
        <v>373</v>
      </c>
      <c r="B202" s="2">
        <v>45981</v>
      </c>
      <c r="C202" t="s">
        <v>274</v>
      </c>
      <c r="D202" t="s">
        <v>45</v>
      </c>
      <c r="E202" t="s">
        <v>52</v>
      </c>
      <c r="F202" t="s">
        <v>16</v>
      </c>
      <c r="G202">
        <v>2</v>
      </c>
      <c r="H202">
        <v>7183.03</v>
      </c>
      <c r="I202">
        <v>0</v>
      </c>
      <c r="J202">
        <v>14366.06</v>
      </c>
      <c r="K202" t="s">
        <v>24</v>
      </c>
      <c r="L202" t="s">
        <v>18</v>
      </c>
    </row>
    <row r="203" spans="1:12" x14ac:dyDescent="0.3">
      <c r="A203" t="s">
        <v>374</v>
      </c>
      <c r="B203" s="2">
        <v>45996</v>
      </c>
      <c r="C203" t="s">
        <v>97</v>
      </c>
      <c r="D203" t="s">
        <v>14</v>
      </c>
      <c r="E203" t="s">
        <v>35</v>
      </c>
      <c r="F203" t="s">
        <v>36</v>
      </c>
      <c r="G203">
        <v>3</v>
      </c>
      <c r="H203">
        <v>1907.21</v>
      </c>
      <c r="I203">
        <v>0.1</v>
      </c>
      <c r="J203">
        <v>5149.47</v>
      </c>
      <c r="K203" t="s">
        <v>37</v>
      </c>
      <c r="L203" t="s">
        <v>18</v>
      </c>
    </row>
    <row r="204" spans="1:12" x14ac:dyDescent="0.3">
      <c r="A204" t="s">
        <v>375</v>
      </c>
      <c r="B204" s="2">
        <v>45856</v>
      </c>
      <c r="C204" t="s">
        <v>291</v>
      </c>
      <c r="D204" t="s">
        <v>45</v>
      </c>
      <c r="E204" t="s">
        <v>62</v>
      </c>
      <c r="F204" t="s">
        <v>23</v>
      </c>
      <c r="G204">
        <v>1</v>
      </c>
      <c r="H204">
        <v>1167.95</v>
      </c>
      <c r="I204">
        <v>0</v>
      </c>
      <c r="J204">
        <v>1167.95</v>
      </c>
      <c r="K204" t="s">
        <v>17</v>
      </c>
      <c r="L204" t="s">
        <v>18</v>
      </c>
    </row>
    <row r="205" spans="1:12" x14ac:dyDescent="0.3">
      <c r="A205" t="s">
        <v>376</v>
      </c>
      <c r="B205" s="2">
        <v>45924</v>
      </c>
      <c r="C205" t="s">
        <v>58</v>
      </c>
      <c r="D205" t="s">
        <v>48</v>
      </c>
      <c r="E205" t="s">
        <v>49</v>
      </c>
      <c r="F205" t="s">
        <v>23</v>
      </c>
      <c r="G205">
        <v>1</v>
      </c>
      <c r="H205">
        <v>6145.45</v>
      </c>
      <c r="I205">
        <v>0.05</v>
      </c>
      <c r="J205">
        <v>5838.18</v>
      </c>
      <c r="K205" t="s">
        <v>24</v>
      </c>
      <c r="L205" t="s">
        <v>29</v>
      </c>
    </row>
    <row r="206" spans="1:12" x14ac:dyDescent="0.3">
      <c r="A206" t="s">
        <v>377</v>
      </c>
      <c r="B206" s="2">
        <v>45774</v>
      </c>
      <c r="C206" t="s">
        <v>51</v>
      </c>
      <c r="D206" t="s">
        <v>27</v>
      </c>
      <c r="E206" t="s">
        <v>49</v>
      </c>
      <c r="F206" t="s">
        <v>23</v>
      </c>
      <c r="G206">
        <v>1</v>
      </c>
      <c r="H206">
        <v>6524.81</v>
      </c>
      <c r="I206">
        <v>0.15</v>
      </c>
      <c r="J206">
        <v>5546.09</v>
      </c>
      <c r="K206" t="s">
        <v>32</v>
      </c>
      <c r="L206" t="s">
        <v>18</v>
      </c>
    </row>
    <row r="207" spans="1:12" x14ac:dyDescent="0.3">
      <c r="A207" t="s">
        <v>378</v>
      </c>
      <c r="B207" s="2">
        <v>46000</v>
      </c>
      <c r="C207" t="s">
        <v>81</v>
      </c>
      <c r="D207" t="s">
        <v>48</v>
      </c>
      <c r="E207" t="s">
        <v>62</v>
      </c>
      <c r="F207" t="s">
        <v>23</v>
      </c>
      <c r="G207">
        <v>1</v>
      </c>
      <c r="H207">
        <v>1174.6500000000001</v>
      </c>
      <c r="I207">
        <v>0.05</v>
      </c>
      <c r="J207">
        <v>1115.92</v>
      </c>
      <c r="K207" t="s">
        <v>24</v>
      </c>
      <c r="L207" t="s">
        <v>29</v>
      </c>
    </row>
    <row r="208" spans="1:12" x14ac:dyDescent="0.3">
      <c r="A208" t="s">
        <v>379</v>
      </c>
      <c r="B208" s="2">
        <v>45774</v>
      </c>
      <c r="C208" t="s">
        <v>380</v>
      </c>
      <c r="D208" t="s">
        <v>61</v>
      </c>
      <c r="E208" t="s">
        <v>62</v>
      </c>
      <c r="F208" t="s">
        <v>23</v>
      </c>
      <c r="G208">
        <v>3</v>
      </c>
      <c r="H208">
        <v>1295.21</v>
      </c>
      <c r="I208">
        <v>0.05</v>
      </c>
      <c r="J208">
        <v>3691.35</v>
      </c>
      <c r="K208" t="s">
        <v>37</v>
      </c>
      <c r="L208" t="s">
        <v>29</v>
      </c>
    </row>
    <row r="209" spans="1:12" x14ac:dyDescent="0.3">
      <c r="A209" t="s">
        <v>381</v>
      </c>
      <c r="B209" s="2">
        <v>45991</v>
      </c>
      <c r="C209" t="s">
        <v>300</v>
      </c>
      <c r="D209" t="s">
        <v>21</v>
      </c>
      <c r="E209" t="s">
        <v>49</v>
      </c>
      <c r="F209" t="s">
        <v>23</v>
      </c>
      <c r="G209">
        <v>1</v>
      </c>
      <c r="H209">
        <v>6102.93</v>
      </c>
      <c r="I209">
        <v>0.05</v>
      </c>
      <c r="J209">
        <v>5797.78</v>
      </c>
      <c r="K209" t="s">
        <v>32</v>
      </c>
      <c r="L209" t="s">
        <v>18</v>
      </c>
    </row>
    <row r="210" spans="1:12" x14ac:dyDescent="0.3">
      <c r="A210" t="s">
        <v>382</v>
      </c>
      <c r="B210" s="2">
        <v>45763</v>
      </c>
      <c r="C210" t="s">
        <v>228</v>
      </c>
      <c r="D210" t="s">
        <v>48</v>
      </c>
      <c r="E210" t="s">
        <v>84</v>
      </c>
      <c r="F210" t="s">
        <v>42</v>
      </c>
      <c r="G210">
        <v>4</v>
      </c>
      <c r="H210">
        <v>2845.32</v>
      </c>
      <c r="I210">
        <v>0.05</v>
      </c>
      <c r="J210">
        <v>10812.22</v>
      </c>
      <c r="K210" t="s">
        <v>24</v>
      </c>
      <c r="L210" t="s">
        <v>18</v>
      </c>
    </row>
    <row r="211" spans="1:12" x14ac:dyDescent="0.3">
      <c r="A211" t="s">
        <v>383</v>
      </c>
      <c r="B211" s="2">
        <v>45765</v>
      </c>
      <c r="C211" t="s">
        <v>253</v>
      </c>
      <c r="D211" t="s">
        <v>61</v>
      </c>
      <c r="E211" t="s">
        <v>52</v>
      </c>
      <c r="F211" t="s">
        <v>16</v>
      </c>
      <c r="G211">
        <v>3</v>
      </c>
      <c r="H211">
        <v>6934.83</v>
      </c>
      <c r="I211">
        <v>0.05</v>
      </c>
      <c r="J211">
        <v>19764.27</v>
      </c>
      <c r="K211" t="s">
        <v>37</v>
      </c>
      <c r="L211" t="s">
        <v>18</v>
      </c>
    </row>
    <row r="212" spans="1:12" x14ac:dyDescent="0.3">
      <c r="A212" t="s">
        <v>384</v>
      </c>
      <c r="B212" s="2">
        <v>45741</v>
      </c>
      <c r="C212" t="s">
        <v>318</v>
      </c>
      <c r="D212" t="s">
        <v>48</v>
      </c>
      <c r="E212" t="s">
        <v>15</v>
      </c>
      <c r="F212" t="s">
        <v>16</v>
      </c>
      <c r="G212">
        <v>3</v>
      </c>
      <c r="H212">
        <v>22754.560000000001</v>
      </c>
      <c r="I212">
        <v>0</v>
      </c>
      <c r="J212">
        <v>68263.679999999993</v>
      </c>
      <c r="K212" t="s">
        <v>17</v>
      </c>
      <c r="L212" t="s">
        <v>38</v>
      </c>
    </row>
    <row r="213" spans="1:12" x14ac:dyDescent="0.3">
      <c r="A213" t="s">
        <v>385</v>
      </c>
      <c r="B213" s="2">
        <v>45775</v>
      </c>
      <c r="C213" t="s">
        <v>386</v>
      </c>
      <c r="D213" t="s">
        <v>48</v>
      </c>
      <c r="E213" t="s">
        <v>15</v>
      </c>
      <c r="F213" t="s">
        <v>16</v>
      </c>
      <c r="G213">
        <v>2</v>
      </c>
      <c r="H213">
        <v>18910.849999999999</v>
      </c>
      <c r="I213">
        <v>0</v>
      </c>
      <c r="J213">
        <v>37821.699999999997</v>
      </c>
      <c r="K213" t="s">
        <v>32</v>
      </c>
      <c r="L213" t="s">
        <v>18</v>
      </c>
    </row>
    <row r="214" spans="1:12" x14ac:dyDescent="0.3">
      <c r="A214" t="s">
        <v>387</v>
      </c>
      <c r="B214" s="2">
        <v>45729</v>
      </c>
      <c r="C214" t="s">
        <v>388</v>
      </c>
      <c r="D214" t="s">
        <v>27</v>
      </c>
      <c r="E214" t="s">
        <v>28</v>
      </c>
      <c r="F214" t="s">
        <v>16</v>
      </c>
      <c r="G214">
        <v>2</v>
      </c>
      <c r="H214">
        <v>3417.51</v>
      </c>
      <c r="I214">
        <v>0.05</v>
      </c>
      <c r="J214">
        <v>6493.27</v>
      </c>
      <c r="K214" t="s">
        <v>24</v>
      </c>
      <c r="L214" t="s">
        <v>18</v>
      </c>
    </row>
    <row r="215" spans="1:12" x14ac:dyDescent="0.3">
      <c r="A215" t="s">
        <v>389</v>
      </c>
      <c r="B215" s="2">
        <v>46002</v>
      </c>
      <c r="C215" t="s">
        <v>390</v>
      </c>
      <c r="D215" t="s">
        <v>14</v>
      </c>
      <c r="E215" t="s">
        <v>15</v>
      </c>
      <c r="F215" t="s">
        <v>16</v>
      </c>
      <c r="G215">
        <v>2</v>
      </c>
      <c r="H215">
        <v>21719.98</v>
      </c>
      <c r="I215">
        <v>0.15</v>
      </c>
      <c r="J215">
        <v>36923.97</v>
      </c>
      <c r="K215" t="s">
        <v>32</v>
      </c>
      <c r="L215" t="s">
        <v>18</v>
      </c>
    </row>
    <row r="216" spans="1:12" x14ac:dyDescent="0.3">
      <c r="A216" t="s">
        <v>391</v>
      </c>
      <c r="B216" s="2">
        <v>45818</v>
      </c>
      <c r="C216" t="s">
        <v>339</v>
      </c>
      <c r="D216" t="s">
        <v>45</v>
      </c>
      <c r="E216" t="s">
        <v>49</v>
      </c>
      <c r="F216" t="s">
        <v>23</v>
      </c>
      <c r="G216">
        <v>1</v>
      </c>
      <c r="H216">
        <v>6980.04</v>
      </c>
      <c r="I216">
        <v>0</v>
      </c>
      <c r="J216">
        <v>6980.04</v>
      </c>
      <c r="K216" t="s">
        <v>37</v>
      </c>
      <c r="L216" t="s">
        <v>18</v>
      </c>
    </row>
    <row r="217" spans="1:12" x14ac:dyDescent="0.3">
      <c r="A217" t="s">
        <v>392</v>
      </c>
      <c r="B217" s="2">
        <v>45735</v>
      </c>
      <c r="C217" t="s">
        <v>393</v>
      </c>
      <c r="D217" t="s">
        <v>45</v>
      </c>
      <c r="E217" t="s">
        <v>15</v>
      </c>
      <c r="F217" t="s">
        <v>16</v>
      </c>
      <c r="G217">
        <v>1</v>
      </c>
      <c r="H217">
        <v>21579.439999999999</v>
      </c>
      <c r="I217">
        <v>0</v>
      </c>
      <c r="J217">
        <v>21579.439999999999</v>
      </c>
      <c r="K217" t="s">
        <v>37</v>
      </c>
      <c r="L217" t="s">
        <v>18</v>
      </c>
    </row>
    <row r="218" spans="1:12" x14ac:dyDescent="0.3">
      <c r="A218" t="s">
        <v>394</v>
      </c>
      <c r="B218" s="2">
        <v>45782</v>
      </c>
      <c r="C218" t="s">
        <v>395</v>
      </c>
      <c r="D218" t="s">
        <v>27</v>
      </c>
      <c r="E218" t="s">
        <v>52</v>
      </c>
      <c r="F218" t="s">
        <v>16</v>
      </c>
      <c r="G218">
        <v>1</v>
      </c>
      <c r="H218">
        <v>7356.48</v>
      </c>
      <c r="I218">
        <v>0.1</v>
      </c>
      <c r="J218">
        <v>6620.83</v>
      </c>
      <c r="K218" t="s">
        <v>37</v>
      </c>
      <c r="L218" t="s">
        <v>18</v>
      </c>
    </row>
    <row r="219" spans="1:12" x14ac:dyDescent="0.3">
      <c r="A219" t="s">
        <v>396</v>
      </c>
      <c r="B219" s="2">
        <v>45945</v>
      </c>
      <c r="C219" t="s">
        <v>395</v>
      </c>
      <c r="D219" t="s">
        <v>45</v>
      </c>
      <c r="E219" t="s">
        <v>15</v>
      </c>
      <c r="F219" t="s">
        <v>16</v>
      </c>
      <c r="G219">
        <v>3</v>
      </c>
      <c r="H219">
        <v>20316.349999999999</v>
      </c>
      <c r="I219">
        <v>0.1</v>
      </c>
      <c r="J219">
        <v>54854.14</v>
      </c>
      <c r="K219" t="s">
        <v>24</v>
      </c>
      <c r="L219" t="s">
        <v>18</v>
      </c>
    </row>
    <row r="220" spans="1:12" x14ac:dyDescent="0.3">
      <c r="A220" t="s">
        <v>397</v>
      </c>
      <c r="B220" s="2">
        <v>45727</v>
      </c>
      <c r="C220" t="s">
        <v>398</v>
      </c>
      <c r="D220" t="s">
        <v>61</v>
      </c>
      <c r="E220" t="s">
        <v>35</v>
      </c>
      <c r="F220" t="s">
        <v>36</v>
      </c>
      <c r="G220">
        <v>2</v>
      </c>
      <c r="H220">
        <v>1752.1</v>
      </c>
      <c r="I220">
        <v>0.05</v>
      </c>
      <c r="J220">
        <v>3328.99</v>
      </c>
      <c r="K220" t="s">
        <v>32</v>
      </c>
      <c r="L220" t="s">
        <v>18</v>
      </c>
    </row>
    <row r="221" spans="1:12" x14ac:dyDescent="0.3">
      <c r="A221" t="s">
        <v>399</v>
      </c>
      <c r="B221" s="2">
        <v>45921</v>
      </c>
      <c r="C221" t="s">
        <v>47</v>
      </c>
      <c r="D221" t="s">
        <v>109</v>
      </c>
      <c r="E221" t="s">
        <v>41</v>
      </c>
      <c r="F221" t="s">
        <v>42</v>
      </c>
      <c r="G221">
        <v>2</v>
      </c>
      <c r="H221">
        <v>1644.85</v>
      </c>
      <c r="I221">
        <v>0</v>
      </c>
      <c r="J221">
        <v>3289.7</v>
      </c>
      <c r="K221" t="s">
        <v>17</v>
      </c>
      <c r="L221" t="s">
        <v>18</v>
      </c>
    </row>
    <row r="222" spans="1:12" x14ac:dyDescent="0.3">
      <c r="A222" t="s">
        <v>400</v>
      </c>
      <c r="B222" s="2">
        <v>45915</v>
      </c>
      <c r="C222" t="s">
        <v>401</v>
      </c>
      <c r="D222" t="s">
        <v>27</v>
      </c>
      <c r="E222" t="s">
        <v>15</v>
      </c>
      <c r="F222" t="s">
        <v>16</v>
      </c>
      <c r="G222">
        <v>1</v>
      </c>
      <c r="H222">
        <v>23075.39</v>
      </c>
      <c r="I222">
        <v>0.1</v>
      </c>
      <c r="J222">
        <v>20767.849999999999</v>
      </c>
      <c r="K222" t="s">
        <v>17</v>
      </c>
      <c r="L222" t="s">
        <v>29</v>
      </c>
    </row>
    <row r="223" spans="1:12" x14ac:dyDescent="0.3">
      <c r="A223" t="s">
        <v>402</v>
      </c>
      <c r="B223" s="2">
        <v>45990</v>
      </c>
      <c r="C223" t="s">
        <v>403</v>
      </c>
      <c r="D223" t="s">
        <v>61</v>
      </c>
      <c r="E223" t="s">
        <v>49</v>
      </c>
      <c r="F223" t="s">
        <v>23</v>
      </c>
      <c r="G223">
        <v>1</v>
      </c>
      <c r="H223">
        <v>7094.91</v>
      </c>
      <c r="I223">
        <v>0.05</v>
      </c>
      <c r="J223">
        <v>6740.16</v>
      </c>
      <c r="K223" t="s">
        <v>37</v>
      </c>
      <c r="L223" t="s">
        <v>18</v>
      </c>
    </row>
    <row r="224" spans="1:12" x14ac:dyDescent="0.3">
      <c r="A224" t="s">
        <v>404</v>
      </c>
      <c r="B224" s="2">
        <v>45793</v>
      </c>
      <c r="C224" t="s">
        <v>405</v>
      </c>
      <c r="D224" t="s">
        <v>14</v>
      </c>
      <c r="E224" t="s">
        <v>49</v>
      </c>
      <c r="F224" t="s">
        <v>23</v>
      </c>
      <c r="G224">
        <v>1</v>
      </c>
      <c r="H224">
        <v>5851.61</v>
      </c>
      <c r="I224">
        <v>0.15</v>
      </c>
      <c r="J224">
        <v>4973.87</v>
      </c>
      <c r="K224" t="s">
        <v>32</v>
      </c>
      <c r="L224" t="s">
        <v>18</v>
      </c>
    </row>
    <row r="225" spans="1:12" x14ac:dyDescent="0.3">
      <c r="A225" t="s">
        <v>406</v>
      </c>
      <c r="B225" s="2">
        <v>45905</v>
      </c>
      <c r="C225" t="s">
        <v>351</v>
      </c>
      <c r="D225" t="s">
        <v>27</v>
      </c>
      <c r="E225" t="s">
        <v>56</v>
      </c>
      <c r="F225" t="s">
        <v>16</v>
      </c>
      <c r="G225">
        <v>5</v>
      </c>
      <c r="H225">
        <v>29328.21</v>
      </c>
      <c r="I225">
        <v>0</v>
      </c>
      <c r="J225">
        <v>146641.04999999999</v>
      </c>
      <c r="K225" t="s">
        <v>37</v>
      </c>
      <c r="L225" t="s">
        <v>29</v>
      </c>
    </row>
    <row r="226" spans="1:12" x14ac:dyDescent="0.3">
      <c r="A226" t="s">
        <v>407</v>
      </c>
      <c r="B226" s="2">
        <v>45929</v>
      </c>
      <c r="C226" t="s">
        <v>408</v>
      </c>
      <c r="D226" t="s">
        <v>48</v>
      </c>
      <c r="E226" t="s">
        <v>56</v>
      </c>
      <c r="F226" t="s">
        <v>16</v>
      </c>
      <c r="G226">
        <v>1</v>
      </c>
      <c r="H226">
        <v>30042.240000000002</v>
      </c>
      <c r="I226">
        <v>0.1</v>
      </c>
      <c r="J226">
        <v>27038.02</v>
      </c>
      <c r="K226" t="s">
        <v>32</v>
      </c>
      <c r="L226" t="s">
        <v>29</v>
      </c>
    </row>
    <row r="227" spans="1:12" x14ac:dyDescent="0.3">
      <c r="A227" t="s">
        <v>409</v>
      </c>
      <c r="B227" s="2">
        <v>45998</v>
      </c>
      <c r="C227" t="s">
        <v>410</v>
      </c>
      <c r="D227" t="s">
        <v>14</v>
      </c>
      <c r="E227" t="s">
        <v>56</v>
      </c>
      <c r="F227" t="s">
        <v>16</v>
      </c>
      <c r="G227">
        <v>1</v>
      </c>
      <c r="H227">
        <v>27216.76</v>
      </c>
      <c r="I227">
        <v>0</v>
      </c>
      <c r="J227">
        <v>27216.76</v>
      </c>
      <c r="K227" t="s">
        <v>37</v>
      </c>
      <c r="L227" t="s">
        <v>29</v>
      </c>
    </row>
    <row r="228" spans="1:12" x14ac:dyDescent="0.3">
      <c r="A228" t="s">
        <v>411</v>
      </c>
      <c r="B228" s="2">
        <v>45968</v>
      </c>
      <c r="C228" t="s">
        <v>168</v>
      </c>
      <c r="D228" t="s">
        <v>14</v>
      </c>
      <c r="E228" t="s">
        <v>15</v>
      </c>
      <c r="F228" t="s">
        <v>16</v>
      </c>
      <c r="G228">
        <v>1</v>
      </c>
      <c r="H228">
        <v>21422.5</v>
      </c>
      <c r="I228">
        <v>0.05</v>
      </c>
      <c r="J228">
        <v>20351.38</v>
      </c>
      <c r="K228" t="s">
        <v>24</v>
      </c>
      <c r="L228" t="s">
        <v>18</v>
      </c>
    </row>
    <row r="229" spans="1:12" x14ac:dyDescent="0.3">
      <c r="A229" t="s">
        <v>412</v>
      </c>
      <c r="B229" s="2">
        <v>45699</v>
      </c>
      <c r="C229" t="s">
        <v>413</v>
      </c>
      <c r="E229" t="s">
        <v>52</v>
      </c>
      <c r="F229" t="s">
        <v>16</v>
      </c>
      <c r="G229">
        <v>3</v>
      </c>
      <c r="H229">
        <v>8145.89</v>
      </c>
      <c r="I229">
        <v>0</v>
      </c>
      <c r="J229">
        <v>24437.67</v>
      </c>
      <c r="K229" t="s">
        <v>37</v>
      </c>
      <c r="L229" t="s">
        <v>18</v>
      </c>
    </row>
    <row r="230" spans="1:12" x14ac:dyDescent="0.3">
      <c r="A230" t="s">
        <v>414</v>
      </c>
      <c r="B230" s="2">
        <v>45671</v>
      </c>
      <c r="C230" t="s">
        <v>415</v>
      </c>
      <c r="D230" t="s">
        <v>61</v>
      </c>
      <c r="E230" t="s">
        <v>22</v>
      </c>
      <c r="F230" t="s">
        <v>23</v>
      </c>
      <c r="G230">
        <v>3</v>
      </c>
      <c r="H230">
        <v>5501.63</v>
      </c>
      <c r="I230">
        <v>0.1</v>
      </c>
      <c r="J230">
        <v>14854.4</v>
      </c>
      <c r="K230" t="s">
        <v>37</v>
      </c>
      <c r="L230" t="s">
        <v>18</v>
      </c>
    </row>
    <row r="231" spans="1:12" x14ac:dyDescent="0.3">
      <c r="A231" t="s">
        <v>416</v>
      </c>
      <c r="B231" s="2">
        <v>45923</v>
      </c>
      <c r="C231" t="s">
        <v>196</v>
      </c>
      <c r="D231" t="s">
        <v>109</v>
      </c>
      <c r="E231" t="s">
        <v>28</v>
      </c>
      <c r="F231" t="s">
        <v>16</v>
      </c>
      <c r="G231">
        <v>1</v>
      </c>
      <c r="H231">
        <v>3246.75</v>
      </c>
      <c r="I231">
        <v>0.2</v>
      </c>
      <c r="J231">
        <v>2597.4</v>
      </c>
      <c r="K231" t="s">
        <v>37</v>
      </c>
      <c r="L231" t="s">
        <v>18</v>
      </c>
    </row>
    <row r="232" spans="1:12" x14ac:dyDescent="0.3">
      <c r="A232" t="s">
        <v>417</v>
      </c>
      <c r="B232" s="2">
        <v>45895</v>
      </c>
      <c r="C232" t="s">
        <v>300</v>
      </c>
      <c r="D232" t="s">
        <v>21</v>
      </c>
      <c r="E232" t="s">
        <v>15</v>
      </c>
      <c r="F232" t="s">
        <v>16</v>
      </c>
      <c r="G232">
        <v>2</v>
      </c>
      <c r="H232">
        <v>22672.7</v>
      </c>
      <c r="I232">
        <v>0</v>
      </c>
      <c r="J232">
        <v>45345.4</v>
      </c>
      <c r="K232" t="s">
        <v>17</v>
      </c>
      <c r="L232" t="s">
        <v>38</v>
      </c>
    </row>
    <row r="233" spans="1:12" x14ac:dyDescent="0.3">
      <c r="A233" t="s">
        <v>418</v>
      </c>
      <c r="B233" s="2">
        <v>45682</v>
      </c>
      <c r="C233" t="s">
        <v>204</v>
      </c>
      <c r="D233" t="s">
        <v>21</v>
      </c>
      <c r="E233" t="s">
        <v>41</v>
      </c>
      <c r="F233" t="s">
        <v>42</v>
      </c>
      <c r="G233">
        <v>2</v>
      </c>
      <c r="H233">
        <v>1593.03</v>
      </c>
      <c r="I233">
        <v>0</v>
      </c>
      <c r="J233">
        <v>3186.06</v>
      </c>
      <c r="K233" t="s">
        <v>37</v>
      </c>
      <c r="L233" t="s">
        <v>18</v>
      </c>
    </row>
    <row r="234" spans="1:12" x14ac:dyDescent="0.3">
      <c r="A234" t="s">
        <v>419</v>
      </c>
      <c r="B234" s="2">
        <v>45803</v>
      </c>
      <c r="C234" t="s">
        <v>108</v>
      </c>
      <c r="D234" t="s">
        <v>61</v>
      </c>
      <c r="E234" t="s">
        <v>52</v>
      </c>
      <c r="F234" t="s">
        <v>16</v>
      </c>
      <c r="G234">
        <v>1</v>
      </c>
      <c r="H234">
        <v>7509.21</v>
      </c>
      <c r="I234">
        <v>0</v>
      </c>
      <c r="J234">
        <v>7509.21</v>
      </c>
      <c r="K234" t="s">
        <v>24</v>
      </c>
      <c r="L234" t="s">
        <v>18</v>
      </c>
    </row>
    <row r="235" spans="1:12" x14ac:dyDescent="0.3">
      <c r="A235" t="s">
        <v>420</v>
      </c>
      <c r="B235" s="2">
        <v>45662</v>
      </c>
      <c r="C235" t="s">
        <v>316</v>
      </c>
      <c r="D235" t="s">
        <v>109</v>
      </c>
      <c r="E235" t="s">
        <v>56</v>
      </c>
      <c r="F235" t="s">
        <v>16</v>
      </c>
      <c r="G235">
        <v>2</v>
      </c>
      <c r="H235">
        <v>27364.18</v>
      </c>
      <c r="I235">
        <v>0.05</v>
      </c>
      <c r="J235">
        <v>51991.94</v>
      </c>
      <c r="K235" t="s">
        <v>24</v>
      </c>
      <c r="L235" t="s">
        <v>18</v>
      </c>
    </row>
    <row r="236" spans="1:12" x14ac:dyDescent="0.3">
      <c r="A236" t="s">
        <v>421</v>
      </c>
      <c r="B236" s="2">
        <v>45740</v>
      </c>
      <c r="C236" t="s">
        <v>302</v>
      </c>
      <c r="D236" t="s">
        <v>14</v>
      </c>
      <c r="E236" t="s">
        <v>62</v>
      </c>
      <c r="F236" t="s">
        <v>23</v>
      </c>
      <c r="G236">
        <v>2</v>
      </c>
      <c r="H236">
        <v>1151.3699999999999</v>
      </c>
      <c r="I236">
        <v>0.1</v>
      </c>
      <c r="J236">
        <v>2072.4699999999998</v>
      </c>
      <c r="K236" t="s">
        <v>37</v>
      </c>
      <c r="L236" t="s">
        <v>18</v>
      </c>
    </row>
    <row r="237" spans="1:12" x14ac:dyDescent="0.3">
      <c r="A237" t="s">
        <v>422</v>
      </c>
      <c r="B237" s="2">
        <v>45917</v>
      </c>
      <c r="C237" t="s">
        <v>423</v>
      </c>
      <c r="D237" t="s">
        <v>61</v>
      </c>
      <c r="E237" t="s">
        <v>15</v>
      </c>
      <c r="F237" t="s">
        <v>16</v>
      </c>
      <c r="G237">
        <v>1</v>
      </c>
      <c r="H237">
        <v>19161.63</v>
      </c>
      <c r="I237">
        <v>0.1</v>
      </c>
      <c r="J237">
        <v>17245.47</v>
      </c>
      <c r="K237" t="s">
        <v>32</v>
      </c>
      <c r="L237" t="s">
        <v>38</v>
      </c>
    </row>
    <row r="238" spans="1:12" x14ac:dyDescent="0.3">
      <c r="A238" t="s">
        <v>424</v>
      </c>
      <c r="B238" s="2">
        <v>45888</v>
      </c>
      <c r="C238" t="s">
        <v>248</v>
      </c>
      <c r="D238" t="s">
        <v>61</v>
      </c>
      <c r="E238" t="s">
        <v>35</v>
      </c>
      <c r="F238" t="s">
        <v>36</v>
      </c>
      <c r="G238">
        <v>1</v>
      </c>
      <c r="H238">
        <v>1809.73</v>
      </c>
      <c r="I238">
        <v>0.1</v>
      </c>
      <c r="J238">
        <v>1628.76</v>
      </c>
      <c r="K238" t="s">
        <v>37</v>
      </c>
      <c r="L238" t="s">
        <v>38</v>
      </c>
    </row>
    <row r="239" spans="1:12" x14ac:dyDescent="0.3">
      <c r="A239" t="s">
        <v>425</v>
      </c>
      <c r="B239" s="2">
        <v>45671</v>
      </c>
      <c r="C239" t="s">
        <v>83</v>
      </c>
      <c r="D239" t="s">
        <v>45</v>
      </c>
      <c r="E239" t="s">
        <v>49</v>
      </c>
      <c r="F239" t="s">
        <v>23</v>
      </c>
      <c r="G239">
        <v>1</v>
      </c>
      <c r="H239">
        <v>6388.37</v>
      </c>
      <c r="I239">
        <v>0.05</v>
      </c>
      <c r="J239">
        <v>6068.95</v>
      </c>
      <c r="K239" t="s">
        <v>37</v>
      </c>
      <c r="L239" t="s">
        <v>29</v>
      </c>
    </row>
    <row r="240" spans="1:12" x14ac:dyDescent="0.3">
      <c r="A240" t="s">
        <v>426</v>
      </c>
      <c r="B240" s="2">
        <v>45736</v>
      </c>
      <c r="C240" t="s">
        <v>267</v>
      </c>
      <c r="D240" t="s">
        <v>109</v>
      </c>
      <c r="E240" t="s">
        <v>56</v>
      </c>
      <c r="F240" t="s">
        <v>16</v>
      </c>
      <c r="G240">
        <v>1</v>
      </c>
      <c r="H240">
        <v>25307.48</v>
      </c>
      <c r="I240">
        <v>0.05</v>
      </c>
      <c r="J240">
        <v>24042.11</v>
      </c>
      <c r="K240" t="s">
        <v>17</v>
      </c>
      <c r="L240" t="s">
        <v>18</v>
      </c>
    </row>
    <row r="241" spans="1:12" x14ac:dyDescent="0.3">
      <c r="A241" t="s">
        <v>427</v>
      </c>
      <c r="B241" s="2">
        <v>45870</v>
      </c>
      <c r="C241" t="s">
        <v>428</v>
      </c>
      <c r="D241" t="s">
        <v>109</v>
      </c>
      <c r="E241" t="s">
        <v>62</v>
      </c>
      <c r="F241" t="s">
        <v>23</v>
      </c>
      <c r="G241">
        <v>1</v>
      </c>
      <c r="H241">
        <v>1137.8900000000001</v>
      </c>
      <c r="I241">
        <v>0</v>
      </c>
      <c r="J241">
        <v>1137.8900000000001</v>
      </c>
      <c r="K241" t="s">
        <v>37</v>
      </c>
      <c r="L241" t="s">
        <v>38</v>
      </c>
    </row>
    <row r="242" spans="1:12" x14ac:dyDescent="0.3">
      <c r="A242" t="s">
        <v>429</v>
      </c>
      <c r="B242" s="2">
        <v>45965</v>
      </c>
      <c r="C242" t="s">
        <v>182</v>
      </c>
      <c r="D242" t="s">
        <v>45</v>
      </c>
      <c r="E242" t="s">
        <v>62</v>
      </c>
      <c r="F242" t="s">
        <v>23</v>
      </c>
      <c r="G242">
        <v>1</v>
      </c>
      <c r="H242">
        <v>1189.05</v>
      </c>
      <c r="I242">
        <v>0.05</v>
      </c>
      <c r="J242">
        <v>1129.5999999999999</v>
      </c>
      <c r="K242" t="s">
        <v>24</v>
      </c>
      <c r="L242" t="s">
        <v>18</v>
      </c>
    </row>
    <row r="243" spans="1:12" x14ac:dyDescent="0.3">
      <c r="A243" t="s">
        <v>430</v>
      </c>
      <c r="B243" s="2">
        <v>45878</v>
      </c>
      <c r="C243" t="s">
        <v>73</v>
      </c>
      <c r="D243" t="s">
        <v>45</v>
      </c>
      <c r="E243" t="s">
        <v>22</v>
      </c>
      <c r="F243" t="s">
        <v>23</v>
      </c>
      <c r="G243">
        <v>1</v>
      </c>
      <c r="H243">
        <v>5523.11</v>
      </c>
      <c r="I243">
        <v>0.1</v>
      </c>
      <c r="J243">
        <v>4970.8</v>
      </c>
      <c r="K243" t="s">
        <v>24</v>
      </c>
      <c r="L243" t="s">
        <v>18</v>
      </c>
    </row>
    <row r="244" spans="1:12" x14ac:dyDescent="0.3">
      <c r="A244" t="s">
        <v>431</v>
      </c>
      <c r="B244" s="2">
        <v>45786</v>
      </c>
      <c r="C244" t="s">
        <v>77</v>
      </c>
      <c r="D244" t="s">
        <v>21</v>
      </c>
      <c r="E244" t="s">
        <v>52</v>
      </c>
      <c r="F244" t="s">
        <v>16</v>
      </c>
      <c r="G244">
        <v>1</v>
      </c>
      <c r="H244">
        <v>7738.04</v>
      </c>
      <c r="I244">
        <v>0</v>
      </c>
      <c r="J244">
        <v>7738.04</v>
      </c>
      <c r="K244" t="s">
        <v>32</v>
      </c>
      <c r="L244" t="s">
        <v>18</v>
      </c>
    </row>
    <row r="245" spans="1:12" x14ac:dyDescent="0.3">
      <c r="A245" t="s">
        <v>432</v>
      </c>
      <c r="B245" s="2">
        <v>45860</v>
      </c>
      <c r="C245" t="s">
        <v>125</v>
      </c>
      <c r="D245" t="s">
        <v>14</v>
      </c>
      <c r="E245" t="s">
        <v>41</v>
      </c>
      <c r="F245" t="s">
        <v>42</v>
      </c>
      <c r="G245">
        <v>1</v>
      </c>
      <c r="H245">
        <v>1587.67</v>
      </c>
      <c r="I245">
        <v>0.15</v>
      </c>
      <c r="J245">
        <v>1349.52</v>
      </c>
      <c r="K245" t="s">
        <v>24</v>
      </c>
      <c r="L245" t="s">
        <v>29</v>
      </c>
    </row>
    <row r="246" spans="1:12" x14ac:dyDescent="0.3">
      <c r="A246" t="s">
        <v>433</v>
      </c>
      <c r="B246" s="2">
        <v>45744</v>
      </c>
      <c r="C246" t="s">
        <v>434</v>
      </c>
      <c r="D246" t="s">
        <v>45</v>
      </c>
      <c r="E246" t="s">
        <v>35</v>
      </c>
      <c r="F246" t="s">
        <v>36</v>
      </c>
      <c r="G246">
        <v>1</v>
      </c>
      <c r="H246">
        <v>1674.06</v>
      </c>
      <c r="I246">
        <v>0.05</v>
      </c>
      <c r="J246">
        <v>1590.36</v>
      </c>
      <c r="K246" t="s">
        <v>32</v>
      </c>
      <c r="L246" t="s">
        <v>18</v>
      </c>
    </row>
    <row r="247" spans="1:12" x14ac:dyDescent="0.3">
      <c r="A247" t="s">
        <v>435</v>
      </c>
      <c r="B247" s="2">
        <v>45790</v>
      </c>
      <c r="C247" t="s">
        <v>295</v>
      </c>
      <c r="D247" t="s">
        <v>45</v>
      </c>
      <c r="E247" t="s">
        <v>84</v>
      </c>
      <c r="F247" t="s">
        <v>42</v>
      </c>
      <c r="G247">
        <v>1</v>
      </c>
      <c r="H247">
        <v>2526.7800000000002</v>
      </c>
      <c r="I247">
        <v>0</v>
      </c>
      <c r="J247">
        <v>2526.7800000000002</v>
      </c>
      <c r="K247" t="s">
        <v>32</v>
      </c>
      <c r="L247" t="s">
        <v>18</v>
      </c>
    </row>
    <row r="248" spans="1:12" x14ac:dyDescent="0.3">
      <c r="A248" t="s">
        <v>436</v>
      </c>
      <c r="B248" s="2">
        <v>45685</v>
      </c>
      <c r="C248" t="s">
        <v>437</v>
      </c>
      <c r="D248" t="s">
        <v>14</v>
      </c>
      <c r="E248" t="s">
        <v>15</v>
      </c>
      <c r="F248" t="s">
        <v>16</v>
      </c>
      <c r="G248">
        <v>1</v>
      </c>
      <c r="H248">
        <v>21677.759999999998</v>
      </c>
      <c r="I248">
        <v>0.1</v>
      </c>
      <c r="J248">
        <v>19509.98</v>
      </c>
      <c r="K248" t="s">
        <v>24</v>
      </c>
      <c r="L248" t="s">
        <v>18</v>
      </c>
    </row>
    <row r="249" spans="1:12" x14ac:dyDescent="0.3">
      <c r="A249" t="s">
        <v>438</v>
      </c>
      <c r="B249" s="2">
        <v>45877</v>
      </c>
      <c r="C249" t="s">
        <v>188</v>
      </c>
      <c r="D249" t="s">
        <v>61</v>
      </c>
      <c r="E249" t="s">
        <v>35</v>
      </c>
      <c r="F249" t="s">
        <v>36</v>
      </c>
      <c r="G249">
        <v>2</v>
      </c>
      <c r="H249">
        <v>1627.54</v>
      </c>
      <c r="I249">
        <v>0</v>
      </c>
      <c r="J249">
        <v>3255.08</v>
      </c>
      <c r="K249" t="s">
        <v>32</v>
      </c>
      <c r="L249" t="s">
        <v>29</v>
      </c>
    </row>
    <row r="250" spans="1:12" x14ac:dyDescent="0.3">
      <c r="A250" t="s">
        <v>439</v>
      </c>
      <c r="B250" s="2">
        <v>45981</v>
      </c>
      <c r="C250" t="s">
        <v>251</v>
      </c>
      <c r="D250" t="s">
        <v>27</v>
      </c>
      <c r="E250" t="s">
        <v>35</v>
      </c>
      <c r="F250" t="s">
        <v>36</v>
      </c>
      <c r="G250">
        <v>1</v>
      </c>
      <c r="H250">
        <v>1663.7</v>
      </c>
      <c r="I250">
        <v>0</v>
      </c>
      <c r="J250">
        <v>1663.7</v>
      </c>
      <c r="K250" t="s">
        <v>37</v>
      </c>
      <c r="L250" t="s">
        <v>38</v>
      </c>
    </row>
    <row r="251" spans="1:12" x14ac:dyDescent="0.3">
      <c r="A251" t="s">
        <v>440</v>
      </c>
      <c r="B251" s="2">
        <v>46004</v>
      </c>
      <c r="C251" t="s">
        <v>410</v>
      </c>
      <c r="D251" t="s">
        <v>48</v>
      </c>
      <c r="E251" t="s">
        <v>49</v>
      </c>
      <c r="F251" t="s">
        <v>23</v>
      </c>
      <c r="G251">
        <v>3</v>
      </c>
      <c r="H251">
        <v>6012.8</v>
      </c>
      <c r="I251">
        <v>0</v>
      </c>
      <c r="J251">
        <v>18038.400000000001</v>
      </c>
      <c r="K251" t="s">
        <v>37</v>
      </c>
      <c r="L251" t="s">
        <v>29</v>
      </c>
    </row>
    <row r="252" spans="1:12" x14ac:dyDescent="0.3">
      <c r="A252" t="s">
        <v>441</v>
      </c>
      <c r="B252" s="2">
        <v>45928</v>
      </c>
      <c r="C252" t="s">
        <v>262</v>
      </c>
      <c r="D252" t="s">
        <v>109</v>
      </c>
      <c r="E252" t="s">
        <v>84</v>
      </c>
      <c r="F252" t="s">
        <v>42</v>
      </c>
      <c r="G252">
        <v>3</v>
      </c>
      <c r="H252">
        <v>2591.73</v>
      </c>
      <c r="I252">
        <v>0.1</v>
      </c>
      <c r="K252" t="s">
        <v>17</v>
      </c>
      <c r="L252" t="s">
        <v>18</v>
      </c>
    </row>
    <row r="253" spans="1:12" x14ac:dyDescent="0.3">
      <c r="A253" t="s">
        <v>442</v>
      </c>
      <c r="B253" s="2">
        <v>45870</v>
      </c>
      <c r="C253" t="s">
        <v>443</v>
      </c>
      <c r="D253" t="s">
        <v>14</v>
      </c>
      <c r="E253" t="s">
        <v>15</v>
      </c>
      <c r="F253" t="s">
        <v>16</v>
      </c>
      <c r="G253">
        <v>2</v>
      </c>
      <c r="H253">
        <v>19587.47</v>
      </c>
      <c r="I253">
        <v>0.05</v>
      </c>
      <c r="J253">
        <v>37216.19</v>
      </c>
      <c r="K253" t="s">
        <v>24</v>
      </c>
      <c r="L253" t="s">
        <v>18</v>
      </c>
    </row>
    <row r="254" spans="1:12" x14ac:dyDescent="0.3">
      <c r="A254" t="s">
        <v>444</v>
      </c>
      <c r="B254" s="2">
        <v>45925</v>
      </c>
      <c r="C254" t="s">
        <v>40</v>
      </c>
      <c r="D254" t="s">
        <v>109</v>
      </c>
      <c r="E254" t="s">
        <v>52</v>
      </c>
      <c r="F254" t="s">
        <v>16</v>
      </c>
      <c r="G254">
        <v>2</v>
      </c>
      <c r="H254">
        <v>8068.9</v>
      </c>
      <c r="I254">
        <v>0</v>
      </c>
      <c r="J254">
        <v>16137.8</v>
      </c>
      <c r="K254" t="s">
        <v>37</v>
      </c>
      <c r="L254" t="s">
        <v>29</v>
      </c>
    </row>
    <row r="255" spans="1:12" x14ac:dyDescent="0.3">
      <c r="A255" t="s">
        <v>445</v>
      </c>
      <c r="B255" s="2">
        <v>45893</v>
      </c>
      <c r="C255" t="s">
        <v>342</v>
      </c>
      <c r="D255" t="s">
        <v>48</v>
      </c>
      <c r="E255" t="s">
        <v>49</v>
      </c>
      <c r="F255" t="s">
        <v>23</v>
      </c>
      <c r="G255">
        <v>3</v>
      </c>
      <c r="H255">
        <v>6859.38</v>
      </c>
      <c r="I255">
        <v>0.1</v>
      </c>
      <c r="J255">
        <v>18520.330000000002</v>
      </c>
      <c r="K255" t="s">
        <v>24</v>
      </c>
      <c r="L255" t="s">
        <v>38</v>
      </c>
    </row>
    <row r="256" spans="1:12" x14ac:dyDescent="0.3">
      <c r="A256" t="s">
        <v>446</v>
      </c>
      <c r="B256" s="2">
        <v>45940</v>
      </c>
      <c r="C256" t="s">
        <v>447</v>
      </c>
      <c r="D256" t="s">
        <v>61</v>
      </c>
      <c r="E256" t="s">
        <v>52</v>
      </c>
      <c r="F256" t="s">
        <v>16</v>
      </c>
      <c r="G256">
        <v>1</v>
      </c>
      <c r="H256">
        <v>6947.59</v>
      </c>
      <c r="I256">
        <v>0</v>
      </c>
      <c r="J256">
        <v>6947.59</v>
      </c>
      <c r="K256" t="s">
        <v>17</v>
      </c>
      <c r="L256" t="s">
        <v>18</v>
      </c>
    </row>
    <row r="257" spans="1:12" x14ac:dyDescent="0.3">
      <c r="A257" t="s">
        <v>448</v>
      </c>
      <c r="B257" s="2">
        <v>45841</v>
      </c>
      <c r="C257" t="s">
        <v>192</v>
      </c>
      <c r="D257" t="s">
        <v>61</v>
      </c>
      <c r="E257" t="s">
        <v>41</v>
      </c>
      <c r="F257" t="s">
        <v>42</v>
      </c>
      <c r="G257">
        <v>2</v>
      </c>
      <c r="H257">
        <v>1628.91</v>
      </c>
      <c r="I257">
        <v>0.05</v>
      </c>
      <c r="J257">
        <v>3094.93</v>
      </c>
      <c r="K257" t="s">
        <v>24</v>
      </c>
      <c r="L257" t="s">
        <v>29</v>
      </c>
    </row>
    <row r="258" spans="1:12" x14ac:dyDescent="0.3">
      <c r="A258" t="s">
        <v>449</v>
      </c>
      <c r="B258" s="2">
        <v>45768</v>
      </c>
      <c r="C258" t="s">
        <v>450</v>
      </c>
      <c r="D258" t="s">
        <v>109</v>
      </c>
      <c r="E258" t="s">
        <v>84</v>
      </c>
      <c r="F258" t="s">
        <v>42</v>
      </c>
      <c r="G258">
        <v>3</v>
      </c>
      <c r="H258">
        <v>2946.23</v>
      </c>
      <c r="I258">
        <v>0.1</v>
      </c>
      <c r="J258">
        <v>7954.82</v>
      </c>
      <c r="K258" t="s">
        <v>24</v>
      </c>
      <c r="L258" t="s">
        <v>18</v>
      </c>
    </row>
    <row r="259" spans="1:12" x14ac:dyDescent="0.3">
      <c r="A259" t="s">
        <v>451</v>
      </c>
      <c r="B259" s="2">
        <v>45881</v>
      </c>
      <c r="C259" t="s">
        <v>200</v>
      </c>
      <c r="D259" t="s">
        <v>109</v>
      </c>
      <c r="E259" t="s">
        <v>28</v>
      </c>
      <c r="F259" t="s">
        <v>16</v>
      </c>
      <c r="G259">
        <v>2</v>
      </c>
      <c r="H259">
        <v>2943.47</v>
      </c>
      <c r="I259">
        <v>0.2</v>
      </c>
      <c r="J259">
        <v>4709.55</v>
      </c>
      <c r="K259" t="s">
        <v>24</v>
      </c>
      <c r="L259" t="s">
        <v>18</v>
      </c>
    </row>
    <row r="260" spans="1:12" x14ac:dyDescent="0.3">
      <c r="A260" t="s">
        <v>452</v>
      </c>
      <c r="B260" s="2">
        <v>45769</v>
      </c>
      <c r="C260" t="s">
        <v>137</v>
      </c>
      <c r="D260" t="s">
        <v>27</v>
      </c>
      <c r="E260" t="s">
        <v>62</v>
      </c>
      <c r="F260" t="s">
        <v>23</v>
      </c>
      <c r="G260">
        <v>2</v>
      </c>
      <c r="H260">
        <v>1125.1300000000001</v>
      </c>
      <c r="I260">
        <v>0.1</v>
      </c>
      <c r="J260">
        <v>2025.23</v>
      </c>
      <c r="K260" t="s">
        <v>32</v>
      </c>
      <c r="L260" t="s">
        <v>18</v>
      </c>
    </row>
    <row r="261" spans="1:12" x14ac:dyDescent="0.3">
      <c r="A261" t="s">
        <v>453</v>
      </c>
      <c r="B261" s="2">
        <v>45778</v>
      </c>
      <c r="C261" t="s">
        <v>454</v>
      </c>
      <c r="D261" t="s">
        <v>45</v>
      </c>
      <c r="E261" t="s">
        <v>41</v>
      </c>
      <c r="F261" t="s">
        <v>42</v>
      </c>
      <c r="G261">
        <v>3</v>
      </c>
      <c r="H261">
        <v>1443.53</v>
      </c>
      <c r="I261">
        <v>0.15</v>
      </c>
      <c r="J261">
        <v>3681</v>
      </c>
      <c r="K261" t="s">
        <v>37</v>
      </c>
      <c r="L261" t="s">
        <v>29</v>
      </c>
    </row>
    <row r="262" spans="1:12" x14ac:dyDescent="0.3">
      <c r="A262" t="s">
        <v>455</v>
      </c>
      <c r="B262" s="2">
        <v>45843</v>
      </c>
      <c r="C262" t="s">
        <v>456</v>
      </c>
      <c r="D262" t="s">
        <v>61</v>
      </c>
      <c r="E262" t="s">
        <v>84</v>
      </c>
      <c r="F262" t="s">
        <v>42</v>
      </c>
      <c r="G262">
        <v>3</v>
      </c>
      <c r="H262">
        <v>2801.15</v>
      </c>
      <c r="I262">
        <v>0.05</v>
      </c>
      <c r="J262">
        <v>7983.28</v>
      </c>
      <c r="K262" t="s">
        <v>37</v>
      </c>
      <c r="L262" t="s">
        <v>29</v>
      </c>
    </row>
    <row r="263" spans="1:12" x14ac:dyDescent="0.3">
      <c r="A263" t="s">
        <v>457</v>
      </c>
      <c r="B263" s="2">
        <v>45967</v>
      </c>
      <c r="C263" t="s">
        <v>246</v>
      </c>
      <c r="D263" t="s">
        <v>45</v>
      </c>
      <c r="E263" t="s">
        <v>41</v>
      </c>
      <c r="F263" t="s">
        <v>42</v>
      </c>
      <c r="G263">
        <v>1</v>
      </c>
      <c r="H263">
        <v>1652.17</v>
      </c>
      <c r="I263">
        <v>0</v>
      </c>
      <c r="J263">
        <v>1652.17</v>
      </c>
      <c r="K263" t="s">
        <v>24</v>
      </c>
      <c r="L263" t="s">
        <v>29</v>
      </c>
    </row>
    <row r="264" spans="1:12" x14ac:dyDescent="0.3">
      <c r="A264" t="s">
        <v>458</v>
      </c>
      <c r="B264" s="2">
        <v>45661</v>
      </c>
      <c r="C264" t="s">
        <v>190</v>
      </c>
      <c r="D264" t="s">
        <v>14</v>
      </c>
      <c r="E264" t="s">
        <v>15</v>
      </c>
      <c r="F264" t="s">
        <v>16</v>
      </c>
      <c r="G264">
        <v>3</v>
      </c>
      <c r="H264">
        <v>21370.45</v>
      </c>
      <c r="I264">
        <v>0</v>
      </c>
      <c r="J264">
        <v>64111.35</v>
      </c>
      <c r="K264" t="s">
        <v>32</v>
      </c>
      <c r="L264" t="s">
        <v>18</v>
      </c>
    </row>
    <row r="265" spans="1:12" x14ac:dyDescent="0.3">
      <c r="A265" t="s">
        <v>459</v>
      </c>
      <c r="B265" s="2">
        <v>45815</v>
      </c>
      <c r="C265" t="s">
        <v>460</v>
      </c>
      <c r="D265" t="s">
        <v>14</v>
      </c>
      <c r="E265" t="s">
        <v>28</v>
      </c>
      <c r="F265" t="s">
        <v>16</v>
      </c>
      <c r="G265">
        <v>2</v>
      </c>
      <c r="H265">
        <v>3191.42</v>
      </c>
      <c r="I265">
        <v>0</v>
      </c>
      <c r="J265">
        <v>6382.84</v>
      </c>
      <c r="K265" t="s">
        <v>17</v>
      </c>
      <c r="L265" t="s">
        <v>18</v>
      </c>
    </row>
    <row r="266" spans="1:12" x14ac:dyDescent="0.3">
      <c r="A266" t="s">
        <v>461</v>
      </c>
      <c r="B266" s="2">
        <v>45733</v>
      </c>
      <c r="C266" t="s">
        <v>177</v>
      </c>
      <c r="D266" t="s">
        <v>109</v>
      </c>
      <c r="E266" t="s">
        <v>15</v>
      </c>
      <c r="F266" t="s">
        <v>16</v>
      </c>
      <c r="G266">
        <v>2</v>
      </c>
      <c r="H266">
        <v>21820.75</v>
      </c>
      <c r="I266">
        <v>0</v>
      </c>
      <c r="J266">
        <v>43641.5</v>
      </c>
      <c r="K266" t="s">
        <v>24</v>
      </c>
      <c r="L266" t="s">
        <v>18</v>
      </c>
    </row>
    <row r="267" spans="1:12" x14ac:dyDescent="0.3">
      <c r="A267" t="s">
        <v>462</v>
      </c>
      <c r="B267" s="2">
        <v>45770</v>
      </c>
      <c r="C267" t="s">
        <v>182</v>
      </c>
      <c r="D267" t="s">
        <v>27</v>
      </c>
      <c r="E267" t="s">
        <v>41</v>
      </c>
      <c r="F267" t="s">
        <v>42</v>
      </c>
      <c r="G267">
        <v>2</v>
      </c>
      <c r="H267">
        <v>1479.16</v>
      </c>
      <c r="I267">
        <v>0.05</v>
      </c>
      <c r="J267">
        <v>2810.4</v>
      </c>
      <c r="K267" t="s">
        <v>24</v>
      </c>
      <c r="L267" t="s">
        <v>18</v>
      </c>
    </row>
    <row r="268" spans="1:12" x14ac:dyDescent="0.3">
      <c r="A268" t="s">
        <v>463</v>
      </c>
      <c r="B268" s="2">
        <v>45775</v>
      </c>
      <c r="C268" t="s">
        <v>365</v>
      </c>
      <c r="D268" t="s">
        <v>27</v>
      </c>
      <c r="E268" t="s">
        <v>56</v>
      </c>
      <c r="F268" t="s">
        <v>16</v>
      </c>
      <c r="G268">
        <v>3</v>
      </c>
      <c r="H268">
        <v>29308.25</v>
      </c>
      <c r="I268">
        <v>0.1</v>
      </c>
      <c r="J268">
        <v>79132.28</v>
      </c>
      <c r="K268" t="s">
        <v>37</v>
      </c>
      <c r="L268" t="s">
        <v>29</v>
      </c>
    </row>
    <row r="269" spans="1:12" x14ac:dyDescent="0.3">
      <c r="A269" t="s">
        <v>464</v>
      </c>
      <c r="B269" s="2">
        <v>45781</v>
      </c>
      <c r="C269" t="s">
        <v>145</v>
      </c>
      <c r="D269" t="s">
        <v>61</v>
      </c>
      <c r="E269" t="s">
        <v>62</v>
      </c>
      <c r="F269" t="s">
        <v>23</v>
      </c>
      <c r="G269">
        <v>1</v>
      </c>
      <c r="H269">
        <v>1317.87</v>
      </c>
      <c r="I269">
        <v>0.1</v>
      </c>
      <c r="J269">
        <v>1186.08</v>
      </c>
      <c r="K269" t="s">
        <v>37</v>
      </c>
      <c r="L269" t="s">
        <v>38</v>
      </c>
    </row>
    <row r="270" spans="1:12" x14ac:dyDescent="0.3">
      <c r="A270" t="s">
        <v>465</v>
      </c>
      <c r="B270" s="2">
        <v>45764</v>
      </c>
      <c r="C270" t="s">
        <v>466</v>
      </c>
      <c r="D270" t="s">
        <v>48</v>
      </c>
      <c r="E270" t="s">
        <v>28</v>
      </c>
      <c r="F270" t="s">
        <v>16</v>
      </c>
      <c r="G270">
        <v>2</v>
      </c>
      <c r="H270">
        <v>2985.79</v>
      </c>
      <c r="I270">
        <v>0.2</v>
      </c>
      <c r="J270">
        <v>4777.26</v>
      </c>
      <c r="K270" t="s">
        <v>24</v>
      </c>
      <c r="L270" t="s">
        <v>29</v>
      </c>
    </row>
    <row r="271" spans="1:12" x14ac:dyDescent="0.3">
      <c r="A271" t="s">
        <v>467</v>
      </c>
      <c r="B271" s="2">
        <v>45692</v>
      </c>
      <c r="C271" t="s">
        <v>234</v>
      </c>
      <c r="D271" t="s">
        <v>109</v>
      </c>
      <c r="E271" t="s">
        <v>84</v>
      </c>
      <c r="F271" t="s">
        <v>42</v>
      </c>
      <c r="G271">
        <v>4</v>
      </c>
      <c r="H271">
        <v>2551.44</v>
      </c>
      <c r="I271">
        <v>0.1</v>
      </c>
      <c r="J271">
        <v>9185.18</v>
      </c>
      <c r="K271" t="s">
        <v>17</v>
      </c>
      <c r="L271" t="s">
        <v>18</v>
      </c>
    </row>
    <row r="272" spans="1:12" x14ac:dyDescent="0.3">
      <c r="A272" t="s">
        <v>468</v>
      </c>
      <c r="B272" s="2">
        <v>46013</v>
      </c>
      <c r="C272" t="s">
        <v>81</v>
      </c>
      <c r="D272" t="s">
        <v>109</v>
      </c>
      <c r="E272" t="s">
        <v>49</v>
      </c>
      <c r="F272" t="s">
        <v>23</v>
      </c>
      <c r="G272">
        <v>1</v>
      </c>
      <c r="H272">
        <v>7068.56</v>
      </c>
      <c r="I272">
        <v>0.05</v>
      </c>
      <c r="J272">
        <v>6715.13</v>
      </c>
      <c r="K272" t="s">
        <v>32</v>
      </c>
      <c r="L272" t="s">
        <v>18</v>
      </c>
    </row>
    <row r="273" spans="1:12" x14ac:dyDescent="0.3">
      <c r="A273" t="s">
        <v>469</v>
      </c>
      <c r="B273" s="2">
        <v>45954</v>
      </c>
      <c r="C273" t="s">
        <v>470</v>
      </c>
      <c r="D273" t="s">
        <v>48</v>
      </c>
      <c r="E273" t="s">
        <v>22</v>
      </c>
      <c r="F273" t="s">
        <v>23</v>
      </c>
      <c r="G273">
        <v>3</v>
      </c>
      <c r="H273">
        <v>4687.3100000000004</v>
      </c>
      <c r="I273">
        <v>0.1</v>
      </c>
      <c r="J273">
        <v>12655.74</v>
      </c>
      <c r="K273" t="s">
        <v>32</v>
      </c>
      <c r="L273" t="s">
        <v>18</v>
      </c>
    </row>
    <row r="274" spans="1:12" x14ac:dyDescent="0.3">
      <c r="A274" t="s">
        <v>471</v>
      </c>
      <c r="B274" s="2">
        <v>46021</v>
      </c>
      <c r="C274" t="s">
        <v>179</v>
      </c>
      <c r="D274" t="s">
        <v>48</v>
      </c>
      <c r="E274" t="s">
        <v>49</v>
      </c>
      <c r="F274" t="s">
        <v>23</v>
      </c>
      <c r="G274">
        <v>4</v>
      </c>
      <c r="H274">
        <v>5867.42</v>
      </c>
      <c r="I274">
        <v>0.05</v>
      </c>
      <c r="J274">
        <v>22296.2</v>
      </c>
      <c r="K274" t="s">
        <v>24</v>
      </c>
      <c r="L274" t="s">
        <v>18</v>
      </c>
    </row>
    <row r="275" spans="1:12" x14ac:dyDescent="0.3">
      <c r="A275" t="s">
        <v>472</v>
      </c>
      <c r="B275" s="2">
        <v>45839</v>
      </c>
      <c r="C275" t="s">
        <v>179</v>
      </c>
      <c r="D275" t="s">
        <v>27</v>
      </c>
      <c r="E275" t="s">
        <v>28</v>
      </c>
      <c r="F275" t="s">
        <v>16</v>
      </c>
      <c r="G275">
        <v>3</v>
      </c>
      <c r="H275">
        <v>3054.05</v>
      </c>
      <c r="I275">
        <v>0</v>
      </c>
      <c r="J275">
        <v>9162.15</v>
      </c>
      <c r="K275" t="s">
        <v>37</v>
      </c>
      <c r="L275" t="s">
        <v>18</v>
      </c>
    </row>
    <row r="276" spans="1:12" x14ac:dyDescent="0.3">
      <c r="A276" t="s">
        <v>473</v>
      </c>
      <c r="B276" s="2">
        <v>46020</v>
      </c>
      <c r="C276" t="s">
        <v>122</v>
      </c>
      <c r="D276" t="s">
        <v>45</v>
      </c>
      <c r="E276" t="s">
        <v>28</v>
      </c>
      <c r="F276" t="s">
        <v>16</v>
      </c>
      <c r="G276">
        <v>3</v>
      </c>
      <c r="H276">
        <v>3276.61</v>
      </c>
      <c r="I276">
        <v>0</v>
      </c>
      <c r="J276">
        <v>9829.83</v>
      </c>
      <c r="K276" t="s">
        <v>32</v>
      </c>
      <c r="L276" t="s">
        <v>18</v>
      </c>
    </row>
    <row r="277" spans="1:12" x14ac:dyDescent="0.3">
      <c r="A277" t="s">
        <v>474</v>
      </c>
      <c r="B277" s="2">
        <v>45860</v>
      </c>
      <c r="C277" t="s">
        <v>295</v>
      </c>
      <c r="D277" t="s">
        <v>61</v>
      </c>
      <c r="E277" t="s">
        <v>41</v>
      </c>
      <c r="F277" t="s">
        <v>42</v>
      </c>
      <c r="G277">
        <v>1</v>
      </c>
      <c r="H277">
        <v>1674.38</v>
      </c>
      <c r="I277">
        <v>0</v>
      </c>
      <c r="J277">
        <v>1674.38</v>
      </c>
      <c r="K277" t="s">
        <v>32</v>
      </c>
      <c r="L277" t="s">
        <v>38</v>
      </c>
    </row>
    <row r="278" spans="1:12" x14ac:dyDescent="0.3">
      <c r="A278" t="s">
        <v>475</v>
      </c>
      <c r="B278" s="2">
        <v>45971</v>
      </c>
      <c r="C278" t="s">
        <v>386</v>
      </c>
      <c r="D278" t="s">
        <v>109</v>
      </c>
      <c r="E278" t="s">
        <v>56</v>
      </c>
      <c r="F278" t="s">
        <v>16</v>
      </c>
      <c r="G278">
        <v>1</v>
      </c>
      <c r="H278">
        <v>29292.6</v>
      </c>
      <c r="I278">
        <v>0</v>
      </c>
      <c r="J278">
        <v>29292.6</v>
      </c>
      <c r="K278" t="s">
        <v>37</v>
      </c>
      <c r="L278" t="s">
        <v>29</v>
      </c>
    </row>
    <row r="279" spans="1:12" x14ac:dyDescent="0.3">
      <c r="A279" t="s">
        <v>476</v>
      </c>
      <c r="B279" s="2">
        <v>45818</v>
      </c>
      <c r="C279" t="s">
        <v>248</v>
      </c>
      <c r="D279" t="s">
        <v>45</v>
      </c>
      <c r="E279" t="s">
        <v>28</v>
      </c>
      <c r="F279" t="s">
        <v>16</v>
      </c>
      <c r="G279">
        <v>2</v>
      </c>
      <c r="H279">
        <v>3502.08</v>
      </c>
      <c r="I279">
        <v>0.05</v>
      </c>
      <c r="J279">
        <v>6653.95</v>
      </c>
      <c r="K279" t="s">
        <v>32</v>
      </c>
      <c r="L279" t="s">
        <v>18</v>
      </c>
    </row>
    <row r="280" spans="1:12" x14ac:dyDescent="0.3">
      <c r="A280" t="s">
        <v>477</v>
      </c>
      <c r="B280" s="2">
        <v>45718</v>
      </c>
      <c r="C280" t="s">
        <v>274</v>
      </c>
      <c r="D280" t="s">
        <v>21</v>
      </c>
      <c r="E280" t="s">
        <v>56</v>
      </c>
      <c r="F280" t="s">
        <v>16</v>
      </c>
      <c r="G280">
        <v>2</v>
      </c>
      <c r="H280">
        <v>30690.89</v>
      </c>
      <c r="I280">
        <v>0.05</v>
      </c>
      <c r="J280">
        <v>58312.69</v>
      </c>
      <c r="K280" t="s">
        <v>24</v>
      </c>
      <c r="L280" t="s">
        <v>18</v>
      </c>
    </row>
    <row r="281" spans="1:12" x14ac:dyDescent="0.3">
      <c r="A281" t="s">
        <v>478</v>
      </c>
      <c r="B281" s="2">
        <v>45755</v>
      </c>
      <c r="C281" t="s">
        <v>149</v>
      </c>
      <c r="D281" t="s">
        <v>109</v>
      </c>
      <c r="E281" t="s">
        <v>41</v>
      </c>
      <c r="F281" t="s">
        <v>42</v>
      </c>
      <c r="G281">
        <v>2</v>
      </c>
      <c r="H281">
        <v>1512.37</v>
      </c>
      <c r="I281">
        <v>0.1</v>
      </c>
      <c r="J281">
        <v>2722.27</v>
      </c>
      <c r="K281" t="s">
        <v>37</v>
      </c>
      <c r="L281" t="s">
        <v>18</v>
      </c>
    </row>
    <row r="282" spans="1:12" x14ac:dyDescent="0.3">
      <c r="A282" t="s">
        <v>479</v>
      </c>
      <c r="B282" s="2">
        <v>45782</v>
      </c>
      <c r="C282" t="s">
        <v>395</v>
      </c>
      <c r="D282" t="s">
        <v>48</v>
      </c>
      <c r="E282" t="s">
        <v>35</v>
      </c>
      <c r="F282" t="s">
        <v>36</v>
      </c>
      <c r="G282">
        <v>1</v>
      </c>
      <c r="H282">
        <v>1930.32</v>
      </c>
      <c r="I282">
        <v>0</v>
      </c>
      <c r="J282">
        <v>1930.32</v>
      </c>
      <c r="K282" t="s">
        <v>32</v>
      </c>
      <c r="L282" t="s">
        <v>18</v>
      </c>
    </row>
    <row r="283" spans="1:12" x14ac:dyDescent="0.3">
      <c r="A283" t="s">
        <v>480</v>
      </c>
      <c r="B283" s="2">
        <v>45976</v>
      </c>
      <c r="C283" t="s">
        <v>212</v>
      </c>
      <c r="D283" t="s">
        <v>61</v>
      </c>
      <c r="E283" t="s">
        <v>62</v>
      </c>
      <c r="F283" t="s">
        <v>23</v>
      </c>
      <c r="G283">
        <v>3</v>
      </c>
      <c r="H283">
        <v>1092.47</v>
      </c>
      <c r="I283">
        <v>0.05</v>
      </c>
      <c r="J283">
        <v>3113.54</v>
      </c>
      <c r="K283" t="s">
        <v>37</v>
      </c>
      <c r="L283" t="s">
        <v>18</v>
      </c>
    </row>
    <row r="284" spans="1:12" x14ac:dyDescent="0.3">
      <c r="A284" t="s">
        <v>481</v>
      </c>
      <c r="B284" s="2">
        <v>45870</v>
      </c>
      <c r="C284" t="s">
        <v>204</v>
      </c>
      <c r="D284" t="s">
        <v>48</v>
      </c>
      <c r="E284" t="s">
        <v>15</v>
      </c>
      <c r="F284" t="s">
        <v>16</v>
      </c>
      <c r="G284">
        <v>2</v>
      </c>
      <c r="H284">
        <v>19760.5</v>
      </c>
      <c r="I284">
        <v>0.05</v>
      </c>
      <c r="J284">
        <v>37544.949999999997</v>
      </c>
      <c r="K284" t="s">
        <v>32</v>
      </c>
      <c r="L284" t="s">
        <v>38</v>
      </c>
    </row>
    <row r="285" spans="1:12" x14ac:dyDescent="0.3">
      <c r="A285" t="s">
        <v>482</v>
      </c>
      <c r="B285" s="2">
        <v>45723</v>
      </c>
      <c r="C285" t="s">
        <v>483</v>
      </c>
      <c r="D285" t="s">
        <v>48</v>
      </c>
      <c r="E285" t="s">
        <v>28</v>
      </c>
      <c r="F285" t="s">
        <v>16</v>
      </c>
      <c r="G285">
        <v>1</v>
      </c>
      <c r="H285">
        <v>3374.09</v>
      </c>
      <c r="I285">
        <v>0.2</v>
      </c>
      <c r="J285">
        <v>2699.27</v>
      </c>
      <c r="K285" t="s">
        <v>17</v>
      </c>
      <c r="L285" t="s">
        <v>38</v>
      </c>
    </row>
    <row r="286" spans="1:12" x14ac:dyDescent="0.3">
      <c r="A286" t="s">
        <v>484</v>
      </c>
      <c r="B286" s="2">
        <v>45746</v>
      </c>
      <c r="C286" t="s">
        <v>298</v>
      </c>
      <c r="D286" t="s">
        <v>109</v>
      </c>
      <c r="E286" t="s">
        <v>62</v>
      </c>
      <c r="F286" t="s">
        <v>23</v>
      </c>
      <c r="G286">
        <v>1</v>
      </c>
      <c r="H286">
        <v>1237.6300000000001</v>
      </c>
      <c r="I286">
        <v>0</v>
      </c>
      <c r="J286">
        <v>1237.6300000000001</v>
      </c>
      <c r="K286" t="s">
        <v>17</v>
      </c>
      <c r="L286" t="s">
        <v>29</v>
      </c>
    </row>
    <row r="287" spans="1:12" x14ac:dyDescent="0.3">
      <c r="A287" t="s">
        <v>485</v>
      </c>
      <c r="B287" s="2">
        <v>45954</v>
      </c>
      <c r="C287" t="s">
        <v>228</v>
      </c>
      <c r="D287" t="s">
        <v>45</v>
      </c>
      <c r="E287" t="s">
        <v>52</v>
      </c>
      <c r="F287" t="s">
        <v>16</v>
      </c>
      <c r="G287">
        <v>1</v>
      </c>
      <c r="H287">
        <v>7180.71</v>
      </c>
      <c r="I287">
        <v>0.05</v>
      </c>
      <c r="J287">
        <v>6821.67</v>
      </c>
      <c r="K287" t="s">
        <v>37</v>
      </c>
      <c r="L287" t="s">
        <v>18</v>
      </c>
    </row>
    <row r="288" spans="1:12" x14ac:dyDescent="0.3">
      <c r="A288" t="s">
        <v>486</v>
      </c>
      <c r="B288" s="2">
        <v>45973</v>
      </c>
      <c r="C288" t="s">
        <v>405</v>
      </c>
      <c r="E288" t="s">
        <v>35</v>
      </c>
      <c r="F288" t="s">
        <v>36</v>
      </c>
      <c r="G288">
        <v>1</v>
      </c>
      <c r="H288">
        <v>1807.27</v>
      </c>
      <c r="I288">
        <v>0.15</v>
      </c>
      <c r="J288">
        <v>1536.18</v>
      </c>
      <c r="K288" t="s">
        <v>32</v>
      </c>
      <c r="L288" t="s">
        <v>18</v>
      </c>
    </row>
    <row r="289" spans="1:12" x14ac:dyDescent="0.3">
      <c r="A289" t="s">
        <v>487</v>
      </c>
      <c r="B289" s="2">
        <v>45877</v>
      </c>
      <c r="C289" t="s">
        <v>88</v>
      </c>
      <c r="D289" t="s">
        <v>61</v>
      </c>
      <c r="E289" t="s">
        <v>35</v>
      </c>
      <c r="F289" t="s">
        <v>36</v>
      </c>
      <c r="G289">
        <v>1</v>
      </c>
      <c r="H289">
        <v>1680.79</v>
      </c>
      <c r="I289">
        <v>0.15</v>
      </c>
      <c r="J289">
        <v>1428.67</v>
      </c>
      <c r="K289" t="s">
        <v>32</v>
      </c>
      <c r="L289" t="s">
        <v>18</v>
      </c>
    </row>
    <row r="290" spans="1:12" x14ac:dyDescent="0.3">
      <c r="A290" t="s">
        <v>488</v>
      </c>
      <c r="B290" s="2">
        <v>45903</v>
      </c>
      <c r="C290" t="s">
        <v>139</v>
      </c>
      <c r="D290" t="s">
        <v>27</v>
      </c>
      <c r="E290" t="s">
        <v>84</v>
      </c>
      <c r="F290" t="s">
        <v>42</v>
      </c>
      <c r="G290">
        <v>3</v>
      </c>
      <c r="H290">
        <v>2967.21</v>
      </c>
      <c r="I290">
        <v>0</v>
      </c>
      <c r="J290">
        <v>8901.6299999999992</v>
      </c>
      <c r="K290" t="s">
        <v>32</v>
      </c>
      <c r="L290" t="s">
        <v>29</v>
      </c>
    </row>
    <row r="291" spans="1:12" x14ac:dyDescent="0.3">
      <c r="A291" t="s">
        <v>489</v>
      </c>
      <c r="B291" s="2">
        <v>45815</v>
      </c>
      <c r="C291" t="s">
        <v>137</v>
      </c>
      <c r="D291" t="s">
        <v>109</v>
      </c>
      <c r="E291" t="s">
        <v>15</v>
      </c>
      <c r="F291" t="s">
        <v>16</v>
      </c>
      <c r="G291">
        <v>5</v>
      </c>
      <c r="H291">
        <v>19414.22</v>
      </c>
      <c r="I291">
        <v>0.05</v>
      </c>
      <c r="J291">
        <v>92217.54</v>
      </c>
      <c r="K291" t="s">
        <v>32</v>
      </c>
      <c r="L291" t="s">
        <v>38</v>
      </c>
    </row>
    <row r="292" spans="1:12" x14ac:dyDescent="0.3">
      <c r="A292" t="s">
        <v>490</v>
      </c>
      <c r="B292" s="2">
        <v>45788</v>
      </c>
      <c r="C292" t="s">
        <v>349</v>
      </c>
      <c r="D292" t="s">
        <v>21</v>
      </c>
      <c r="E292" t="s">
        <v>52</v>
      </c>
      <c r="F292" t="s">
        <v>16</v>
      </c>
      <c r="G292">
        <v>2</v>
      </c>
      <c r="H292">
        <v>7780.29</v>
      </c>
      <c r="I292">
        <v>0</v>
      </c>
      <c r="J292">
        <v>15560.58</v>
      </c>
      <c r="K292" t="s">
        <v>37</v>
      </c>
      <c r="L292" t="s">
        <v>38</v>
      </c>
    </row>
    <row r="293" spans="1:12" x14ac:dyDescent="0.3">
      <c r="A293" t="s">
        <v>491</v>
      </c>
      <c r="B293" s="2">
        <v>45922</v>
      </c>
      <c r="C293" t="s">
        <v>337</v>
      </c>
      <c r="D293" t="s">
        <v>48</v>
      </c>
      <c r="E293" t="s">
        <v>28</v>
      </c>
      <c r="F293" t="s">
        <v>16</v>
      </c>
      <c r="G293">
        <v>1</v>
      </c>
      <c r="H293">
        <v>3095.58</v>
      </c>
      <c r="I293">
        <v>0.2</v>
      </c>
      <c r="J293">
        <v>2476.46</v>
      </c>
      <c r="K293" t="s">
        <v>24</v>
      </c>
      <c r="L293" t="s">
        <v>18</v>
      </c>
    </row>
    <row r="294" spans="1:12" x14ac:dyDescent="0.3">
      <c r="A294" t="s">
        <v>492</v>
      </c>
      <c r="B294" s="2">
        <v>45870</v>
      </c>
      <c r="C294" t="s">
        <v>304</v>
      </c>
      <c r="D294" t="s">
        <v>109</v>
      </c>
      <c r="E294" t="s">
        <v>84</v>
      </c>
      <c r="F294" t="s">
        <v>42</v>
      </c>
      <c r="G294">
        <v>5</v>
      </c>
      <c r="H294">
        <v>2884.93</v>
      </c>
      <c r="I294">
        <v>0.15</v>
      </c>
      <c r="J294">
        <v>12260.95</v>
      </c>
      <c r="K294" t="s">
        <v>24</v>
      </c>
      <c r="L294" t="s">
        <v>38</v>
      </c>
    </row>
    <row r="295" spans="1:12" x14ac:dyDescent="0.3">
      <c r="A295" t="s">
        <v>493</v>
      </c>
      <c r="B295" s="2">
        <v>45847</v>
      </c>
      <c r="C295" t="s">
        <v>129</v>
      </c>
      <c r="D295" t="s">
        <v>45</v>
      </c>
      <c r="E295" t="s">
        <v>15</v>
      </c>
      <c r="F295" t="s">
        <v>16</v>
      </c>
      <c r="G295">
        <v>1</v>
      </c>
      <c r="H295">
        <v>22369.11</v>
      </c>
      <c r="I295">
        <v>0.1</v>
      </c>
      <c r="J295">
        <v>20132.2</v>
      </c>
      <c r="K295" t="s">
        <v>17</v>
      </c>
      <c r="L295" t="s">
        <v>18</v>
      </c>
    </row>
    <row r="296" spans="1:12" x14ac:dyDescent="0.3">
      <c r="A296" t="s">
        <v>494</v>
      </c>
      <c r="B296" s="2">
        <v>45833</v>
      </c>
      <c r="C296" t="s">
        <v>495</v>
      </c>
      <c r="D296" t="s">
        <v>48</v>
      </c>
      <c r="E296" t="s">
        <v>15</v>
      </c>
      <c r="F296" t="s">
        <v>16</v>
      </c>
      <c r="G296">
        <v>1</v>
      </c>
      <c r="H296">
        <v>21634.82</v>
      </c>
      <c r="I296">
        <v>0.1</v>
      </c>
      <c r="J296">
        <v>19471.34</v>
      </c>
      <c r="K296" t="s">
        <v>37</v>
      </c>
      <c r="L296" t="s">
        <v>38</v>
      </c>
    </row>
    <row r="297" spans="1:12" x14ac:dyDescent="0.3">
      <c r="A297" t="s">
        <v>496</v>
      </c>
      <c r="B297" s="2">
        <v>45929</v>
      </c>
      <c r="C297" t="s">
        <v>454</v>
      </c>
      <c r="D297" t="s">
        <v>109</v>
      </c>
      <c r="E297" t="s">
        <v>49</v>
      </c>
      <c r="F297" t="s">
        <v>23</v>
      </c>
      <c r="G297">
        <v>5</v>
      </c>
      <c r="H297">
        <v>6014.14</v>
      </c>
      <c r="I297">
        <v>0.1</v>
      </c>
      <c r="J297">
        <v>27063.63</v>
      </c>
      <c r="K297" t="s">
        <v>17</v>
      </c>
      <c r="L297" t="s">
        <v>29</v>
      </c>
    </row>
    <row r="298" spans="1:12" x14ac:dyDescent="0.3">
      <c r="A298" t="s">
        <v>497</v>
      </c>
      <c r="B298" s="2">
        <v>45904</v>
      </c>
      <c r="C298" t="s">
        <v>498</v>
      </c>
      <c r="D298" t="s">
        <v>61</v>
      </c>
      <c r="E298" t="s">
        <v>56</v>
      </c>
      <c r="F298" t="s">
        <v>16</v>
      </c>
      <c r="G298">
        <v>1</v>
      </c>
      <c r="H298">
        <v>26472.21</v>
      </c>
      <c r="I298">
        <v>0.15</v>
      </c>
      <c r="J298">
        <v>22501.38</v>
      </c>
      <c r="K298" t="s">
        <v>17</v>
      </c>
      <c r="L298" t="s">
        <v>29</v>
      </c>
    </row>
    <row r="299" spans="1:12" x14ac:dyDescent="0.3">
      <c r="A299" t="s">
        <v>499</v>
      </c>
      <c r="B299" s="2">
        <v>45774</v>
      </c>
      <c r="C299" t="s">
        <v>428</v>
      </c>
      <c r="D299" t="s">
        <v>48</v>
      </c>
      <c r="E299" t="s">
        <v>62</v>
      </c>
      <c r="F299" t="s">
        <v>23</v>
      </c>
      <c r="G299">
        <v>1</v>
      </c>
      <c r="H299">
        <v>1087.97</v>
      </c>
      <c r="I299">
        <v>0</v>
      </c>
      <c r="J299">
        <v>1087.97</v>
      </c>
      <c r="K299" t="s">
        <v>32</v>
      </c>
      <c r="L299" t="s">
        <v>38</v>
      </c>
    </row>
    <row r="300" spans="1:12" x14ac:dyDescent="0.3">
      <c r="A300" t="s">
        <v>500</v>
      </c>
      <c r="B300" s="2">
        <v>45867</v>
      </c>
      <c r="C300" t="s">
        <v>281</v>
      </c>
      <c r="D300" t="s">
        <v>27</v>
      </c>
      <c r="E300" t="s">
        <v>22</v>
      </c>
      <c r="F300" t="s">
        <v>23</v>
      </c>
      <c r="G300">
        <v>2</v>
      </c>
      <c r="H300">
        <v>5371.58</v>
      </c>
      <c r="I300">
        <v>0.1</v>
      </c>
      <c r="J300">
        <v>9668.84</v>
      </c>
      <c r="K300" t="s">
        <v>24</v>
      </c>
      <c r="L300" t="s">
        <v>29</v>
      </c>
    </row>
    <row r="301" spans="1:12" x14ac:dyDescent="0.3">
      <c r="A301" t="s">
        <v>501</v>
      </c>
      <c r="B301" s="2">
        <v>45757</v>
      </c>
      <c r="C301" t="s">
        <v>218</v>
      </c>
      <c r="D301" t="s">
        <v>48</v>
      </c>
      <c r="E301" t="s">
        <v>62</v>
      </c>
      <c r="F301" t="s">
        <v>23</v>
      </c>
      <c r="G301">
        <v>1</v>
      </c>
      <c r="H301">
        <v>1190.49</v>
      </c>
      <c r="I301">
        <v>0.05</v>
      </c>
      <c r="J301">
        <v>1130.97</v>
      </c>
      <c r="K301" t="s">
        <v>17</v>
      </c>
      <c r="L301" t="s">
        <v>18</v>
      </c>
    </row>
    <row r="302" spans="1:12" x14ac:dyDescent="0.3">
      <c r="A302" t="s">
        <v>502</v>
      </c>
      <c r="B302" s="2">
        <v>45927</v>
      </c>
      <c r="C302" t="s">
        <v>51</v>
      </c>
      <c r="D302" t="s">
        <v>48</v>
      </c>
      <c r="E302" t="s">
        <v>41</v>
      </c>
      <c r="F302" t="s">
        <v>42</v>
      </c>
      <c r="G302">
        <v>1</v>
      </c>
      <c r="H302">
        <v>1574.86</v>
      </c>
      <c r="I302">
        <v>0</v>
      </c>
      <c r="J302">
        <v>1574.86</v>
      </c>
      <c r="K302" t="s">
        <v>17</v>
      </c>
      <c r="L302" t="s">
        <v>18</v>
      </c>
    </row>
    <row r="303" spans="1:12" x14ac:dyDescent="0.3">
      <c r="A303" t="s">
        <v>503</v>
      </c>
      <c r="B303" s="2">
        <v>45941</v>
      </c>
      <c r="C303" t="s">
        <v>405</v>
      </c>
      <c r="D303" t="s">
        <v>45</v>
      </c>
      <c r="E303" t="s">
        <v>84</v>
      </c>
      <c r="F303" t="s">
        <v>42</v>
      </c>
      <c r="G303">
        <v>5</v>
      </c>
      <c r="H303">
        <v>2911.62</v>
      </c>
      <c r="I303">
        <v>0.15</v>
      </c>
      <c r="J303">
        <v>12374.38</v>
      </c>
      <c r="K303" t="s">
        <v>17</v>
      </c>
      <c r="L303" t="s">
        <v>29</v>
      </c>
    </row>
    <row r="304" spans="1:12" x14ac:dyDescent="0.3">
      <c r="A304" t="s">
        <v>504</v>
      </c>
      <c r="B304" s="2">
        <v>45777</v>
      </c>
      <c r="C304" t="s">
        <v>413</v>
      </c>
      <c r="D304" t="s">
        <v>45</v>
      </c>
      <c r="E304" t="s">
        <v>62</v>
      </c>
      <c r="F304" t="s">
        <v>23</v>
      </c>
      <c r="G304">
        <v>2</v>
      </c>
      <c r="H304">
        <v>1232.42</v>
      </c>
      <c r="I304">
        <v>0.05</v>
      </c>
      <c r="J304">
        <v>2341.6</v>
      </c>
      <c r="K304" t="s">
        <v>37</v>
      </c>
      <c r="L304" t="s">
        <v>18</v>
      </c>
    </row>
    <row r="305" spans="1:12" x14ac:dyDescent="0.3">
      <c r="A305" t="s">
        <v>505</v>
      </c>
      <c r="B305" s="2">
        <v>45799</v>
      </c>
      <c r="C305" t="s">
        <v>342</v>
      </c>
      <c r="D305" t="s">
        <v>45</v>
      </c>
      <c r="E305" t="s">
        <v>15</v>
      </c>
      <c r="F305" t="s">
        <v>16</v>
      </c>
      <c r="G305">
        <v>1</v>
      </c>
      <c r="H305">
        <v>20092.080000000002</v>
      </c>
      <c r="I305">
        <v>0.05</v>
      </c>
      <c r="J305">
        <v>19087.48</v>
      </c>
      <c r="K305" t="s">
        <v>17</v>
      </c>
      <c r="L305" t="s">
        <v>18</v>
      </c>
    </row>
    <row r="306" spans="1:12" x14ac:dyDescent="0.3">
      <c r="A306" t="s">
        <v>506</v>
      </c>
      <c r="B306" s="2">
        <v>45659</v>
      </c>
      <c r="C306" t="s">
        <v>507</v>
      </c>
      <c r="D306" t="s">
        <v>45</v>
      </c>
      <c r="E306" t="s">
        <v>84</v>
      </c>
      <c r="F306" t="s">
        <v>42</v>
      </c>
      <c r="G306">
        <v>2</v>
      </c>
      <c r="H306">
        <v>3011.25</v>
      </c>
      <c r="I306">
        <v>0</v>
      </c>
      <c r="J306">
        <v>6022.5</v>
      </c>
      <c r="K306" t="s">
        <v>24</v>
      </c>
      <c r="L306" t="s">
        <v>18</v>
      </c>
    </row>
    <row r="307" spans="1:12" x14ac:dyDescent="0.3">
      <c r="A307" t="s">
        <v>508</v>
      </c>
      <c r="B307" s="2">
        <v>45815</v>
      </c>
      <c r="C307" t="s">
        <v>276</v>
      </c>
      <c r="D307" t="s">
        <v>14</v>
      </c>
      <c r="E307" t="s">
        <v>52</v>
      </c>
      <c r="F307" t="s">
        <v>16</v>
      </c>
      <c r="G307">
        <v>2</v>
      </c>
      <c r="H307">
        <v>8007.23</v>
      </c>
      <c r="I307">
        <v>0.05</v>
      </c>
      <c r="J307">
        <v>15213.74</v>
      </c>
      <c r="K307" t="s">
        <v>17</v>
      </c>
      <c r="L307" t="s">
        <v>38</v>
      </c>
    </row>
    <row r="308" spans="1:12" x14ac:dyDescent="0.3">
      <c r="A308" t="s">
        <v>509</v>
      </c>
      <c r="B308" s="2">
        <v>45829</v>
      </c>
      <c r="C308" t="s">
        <v>129</v>
      </c>
      <c r="D308" t="s">
        <v>45</v>
      </c>
      <c r="E308" t="s">
        <v>22</v>
      </c>
      <c r="F308" t="s">
        <v>23</v>
      </c>
      <c r="G308">
        <v>2</v>
      </c>
      <c r="H308">
        <v>5544.63</v>
      </c>
      <c r="I308">
        <v>0</v>
      </c>
      <c r="J308">
        <v>11089.26</v>
      </c>
      <c r="K308" t="s">
        <v>37</v>
      </c>
      <c r="L308" t="s">
        <v>18</v>
      </c>
    </row>
    <row r="309" spans="1:12" x14ac:dyDescent="0.3">
      <c r="A309" t="s">
        <v>510</v>
      </c>
      <c r="B309" s="2">
        <v>45665</v>
      </c>
      <c r="C309" t="s">
        <v>365</v>
      </c>
      <c r="D309" t="s">
        <v>61</v>
      </c>
      <c r="E309" t="s">
        <v>56</v>
      </c>
      <c r="F309" t="s">
        <v>16</v>
      </c>
      <c r="G309">
        <v>3</v>
      </c>
      <c r="H309">
        <v>30552.62</v>
      </c>
      <c r="I309">
        <v>0</v>
      </c>
      <c r="J309">
        <v>91657.86</v>
      </c>
      <c r="K309" t="s">
        <v>17</v>
      </c>
      <c r="L309" t="s">
        <v>18</v>
      </c>
    </row>
    <row r="310" spans="1:12" x14ac:dyDescent="0.3">
      <c r="A310" t="s">
        <v>511</v>
      </c>
      <c r="B310" s="2">
        <v>45965</v>
      </c>
      <c r="C310" t="s">
        <v>512</v>
      </c>
      <c r="D310" t="s">
        <v>48</v>
      </c>
      <c r="E310" t="s">
        <v>22</v>
      </c>
      <c r="F310" t="s">
        <v>23</v>
      </c>
      <c r="G310">
        <v>1</v>
      </c>
      <c r="H310">
        <v>5034.45</v>
      </c>
      <c r="I310">
        <v>0</v>
      </c>
      <c r="J310">
        <v>5034.45</v>
      </c>
      <c r="K310" t="s">
        <v>32</v>
      </c>
      <c r="L310" t="s">
        <v>38</v>
      </c>
    </row>
    <row r="311" spans="1:12" x14ac:dyDescent="0.3">
      <c r="A311" t="s">
        <v>513</v>
      </c>
      <c r="B311" s="2">
        <v>46005</v>
      </c>
      <c r="C311" t="s">
        <v>68</v>
      </c>
      <c r="D311" t="s">
        <v>21</v>
      </c>
      <c r="E311" t="s">
        <v>49</v>
      </c>
      <c r="F311" t="s">
        <v>23</v>
      </c>
      <c r="G311">
        <v>3</v>
      </c>
      <c r="H311">
        <v>6729.35</v>
      </c>
      <c r="I311">
        <v>0.1</v>
      </c>
      <c r="J311">
        <v>18169.25</v>
      </c>
      <c r="K311" t="s">
        <v>24</v>
      </c>
      <c r="L311" t="s">
        <v>29</v>
      </c>
    </row>
    <row r="312" spans="1:12" x14ac:dyDescent="0.3">
      <c r="A312" t="s">
        <v>514</v>
      </c>
      <c r="B312" s="2">
        <v>46018</v>
      </c>
      <c r="C312" t="s">
        <v>214</v>
      </c>
      <c r="D312" t="s">
        <v>61</v>
      </c>
      <c r="E312" t="s">
        <v>52</v>
      </c>
      <c r="F312" t="s">
        <v>16</v>
      </c>
      <c r="G312">
        <v>1</v>
      </c>
      <c r="H312">
        <v>7459.35</v>
      </c>
      <c r="I312">
        <v>0</v>
      </c>
      <c r="J312">
        <v>7459.35</v>
      </c>
      <c r="K312" t="s">
        <v>24</v>
      </c>
      <c r="L312" t="s">
        <v>18</v>
      </c>
    </row>
    <row r="313" spans="1:12" x14ac:dyDescent="0.3">
      <c r="A313" t="s">
        <v>515</v>
      </c>
      <c r="B313" s="2">
        <v>45793</v>
      </c>
      <c r="C313" t="s">
        <v>316</v>
      </c>
      <c r="D313" t="s">
        <v>21</v>
      </c>
      <c r="E313" t="s">
        <v>28</v>
      </c>
      <c r="F313" t="s">
        <v>16</v>
      </c>
      <c r="G313">
        <v>1</v>
      </c>
      <c r="H313">
        <v>2909.22</v>
      </c>
      <c r="I313">
        <v>0.05</v>
      </c>
      <c r="J313">
        <v>2763.76</v>
      </c>
      <c r="K313" t="s">
        <v>24</v>
      </c>
      <c r="L313" t="s">
        <v>38</v>
      </c>
    </row>
    <row r="314" spans="1:12" x14ac:dyDescent="0.3">
      <c r="A314" t="s">
        <v>516</v>
      </c>
      <c r="B314" s="2">
        <v>45894</v>
      </c>
      <c r="C314" t="s">
        <v>92</v>
      </c>
      <c r="D314" t="s">
        <v>27</v>
      </c>
      <c r="E314" t="s">
        <v>15</v>
      </c>
      <c r="F314" t="s">
        <v>16</v>
      </c>
      <c r="G314">
        <v>1</v>
      </c>
      <c r="H314">
        <v>21465.279999999999</v>
      </c>
      <c r="I314">
        <v>0</v>
      </c>
      <c r="J314">
        <v>21465.279999999999</v>
      </c>
      <c r="K314" t="s">
        <v>37</v>
      </c>
      <c r="L314" t="s">
        <v>18</v>
      </c>
    </row>
    <row r="315" spans="1:12" x14ac:dyDescent="0.3">
      <c r="A315" t="s">
        <v>517</v>
      </c>
      <c r="B315" s="2">
        <v>46010</v>
      </c>
      <c r="C315" t="s">
        <v>237</v>
      </c>
      <c r="D315" t="s">
        <v>61</v>
      </c>
      <c r="E315" t="s">
        <v>22</v>
      </c>
      <c r="F315" t="s">
        <v>23</v>
      </c>
      <c r="G315">
        <v>1</v>
      </c>
      <c r="H315">
        <v>5557.68</v>
      </c>
      <c r="I315">
        <v>0.15</v>
      </c>
      <c r="J315">
        <v>4724.03</v>
      </c>
      <c r="K315" t="s">
        <v>37</v>
      </c>
      <c r="L315" t="s">
        <v>18</v>
      </c>
    </row>
    <row r="316" spans="1:12" x14ac:dyDescent="0.3">
      <c r="A316" t="s">
        <v>518</v>
      </c>
      <c r="B316" s="2">
        <v>46001</v>
      </c>
      <c r="C316" t="s">
        <v>256</v>
      </c>
      <c r="D316" t="s">
        <v>27</v>
      </c>
      <c r="E316" t="s">
        <v>28</v>
      </c>
      <c r="F316" t="s">
        <v>16</v>
      </c>
      <c r="G316">
        <v>1</v>
      </c>
      <c r="H316">
        <v>3057.81</v>
      </c>
      <c r="I316">
        <v>0</v>
      </c>
      <c r="J316">
        <v>3057.81</v>
      </c>
      <c r="K316" t="s">
        <v>37</v>
      </c>
      <c r="L316" t="s">
        <v>38</v>
      </c>
    </row>
    <row r="317" spans="1:12" x14ac:dyDescent="0.3">
      <c r="A317" t="s">
        <v>519</v>
      </c>
      <c r="B317" s="2">
        <v>45849</v>
      </c>
      <c r="C317" t="s">
        <v>520</v>
      </c>
      <c r="D317" t="s">
        <v>48</v>
      </c>
      <c r="E317" t="s">
        <v>62</v>
      </c>
      <c r="F317" t="s">
        <v>23</v>
      </c>
      <c r="G317">
        <v>3</v>
      </c>
      <c r="H317">
        <v>1087.1199999999999</v>
      </c>
      <c r="I317">
        <v>0.05</v>
      </c>
      <c r="J317">
        <v>3098.29</v>
      </c>
      <c r="K317" t="s">
        <v>17</v>
      </c>
      <c r="L317" t="s">
        <v>18</v>
      </c>
    </row>
    <row r="318" spans="1:12" x14ac:dyDescent="0.3">
      <c r="A318" t="s">
        <v>521</v>
      </c>
      <c r="B318" s="2">
        <v>45729</v>
      </c>
      <c r="C318" t="s">
        <v>47</v>
      </c>
      <c r="D318" t="s">
        <v>45</v>
      </c>
      <c r="E318" t="s">
        <v>52</v>
      </c>
      <c r="F318" t="s">
        <v>16</v>
      </c>
      <c r="G318">
        <v>1</v>
      </c>
      <c r="H318">
        <v>7844.79</v>
      </c>
      <c r="I318">
        <v>0.05</v>
      </c>
      <c r="J318">
        <v>7452.55</v>
      </c>
      <c r="K318" t="s">
        <v>37</v>
      </c>
      <c r="L318" t="s">
        <v>18</v>
      </c>
    </row>
    <row r="319" spans="1:12" x14ac:dyDescent="0.3">
      <c r="A319" t="s">
        <v>522</v>
      </c>
      <c r="B319" s="2">
        <v>45665</v>
      </c>
      <c r="C319" t="s">
        <v>483</v>
      </c>
      <c r="D319" t="s">
        <v>14</v>
      </c>
      <c r="E319" t="s">
        <v>84</v>
      </c>
      <c r="F319" t="s">
        <v>42</v>
      </c>
      <c r="G319">
        <v>1</v>
      </c>
      <c r="H319">
        <v>3054.26</v>
      </c>
      <c r="I319">
        <v>0.1</v>
      </c>
      <c r="J319">
        <v>2748.83</v>
      </c>
      <c r="K319" t="s">
        <v>24</v>
      </c>
      <c r="L319" t="s">
        <v>18</v>
      </c>
    </row>
    <row r="320" spans="1:12" x14ac:dyDescent="0.3">
      <c r="A320" t="s">
        <v>523</v>
      </c>
      <c r="B320" s="2">
        <v>45981</v>
      </c>
      <c r="C320" t="s">
        <v>129</v>
      </c>
      <c r="D320" t="s">
        <v>61</v>
      </c>
      <c r="E320" t="s">
        <v>28</v>
      </c>
      <c r="F320" t="s">
        <v>16</v>
      </c>
      <c r="G320">
        <v>1</v>
      </c>
      <c r="H320">
        <v>3319.42</v>
      </c>
      <c r="I320">
        <v>0.1</v>
      </c>
      <c r="J320">
        <v>2987.48</v>
      </c>
      <c r="K320" t="s">
        <v>32</v>
      </c>
      <c r="L320" t="s">
        <v>18</v>
      </c>
    </row>
    <row r="321" spans="1:12" x14ac:dyDescent="0.3">
      <c r="A321" t="s">
        <v>524</v>
      </c>
      <c r="B321" s="2">
        <v>45900</v>
      </c>
      <c r="C321" t="s">
        <v>291</v>
      </c>
      <c r="D321" t="s">
        <v>27</v>
      </c>
      <c r="E321" t="s">
        <v>56</v>
      </c>
      <c r="F321" t="s">
        <v>16</v>
      </c>
      <c r="G321">
        <v>1</v>
      </c>
      <c r="H321">
        <v>25597.64</v>
      </c>
      <c r="I321">
        <v>0.1</v>
      </c>
      <c r="J321">
        <v>23037.88</v>
      </c>
      <c r="K321" t="s">
        <v>17</v>
      </c>
      <c r="L321" t="s">
        <v>18</v>
      </c>
    </row>
    <row r="322" spans="1:12" x14ac:dyDescent="0.3">
      <c r="A322" t="s">
        <v>525</v>
      </c>
      <c r="B322" s="2">
        <v>45867</v>
      </c>
      <c r="C322" t="s">
        <v>437</v>
      </c>
      <c r="D322" t="s">
        <v>48</v>
      </c>
      <c r="E322" t="s">
        <v>35</v>
      </c>
      <c r="F322" t="s">
        <v>36</v>
      </c>
      <c r="G322">
        <v>2</v>
      </c>
      <c r="H322">
        <v>1835.53</v>
      </c>
      <c r="I322">
        <v>0.15</v>
      </c>
      <c r="J322">
        <v>3120.4</v>
      </c>
      <c r="K322" t="s">
        <v>37</v>
      </c>
      <c r="L322" t="s">
        <v>29</v>
      </c>
    </row>
    <row r="323" spans="1:12" x14ac:dyDescent="0.3">
      <c r="A323" t="s">
        <v>526</v>
      </c>
      <c r="B323" s="2">
        <v>45823</v>
      </c>
      <c r="C323" t="s">
        <v>90</v>
      </c>
      <c r="D323" t="s">
        <v>48</v>
      </c>
      <c r="E323" t="s">
        <v>22</v>
      </c>
      <c r="F323" t="s">
        <v>23</v>
      </c>
      <c r="G323">
        <v>2</v>
      </c>
      <c r="H323">
        <v>5618.55</v>
      </c>
      <c r="I323">
        <v>0</v>
      </c>
      <c r="J323">
        <v>11237.1</v>
      </c>
      <c r="K323" t="s">
        <v>32</v>
      </c>
      <c r="L323" t="s">
        <v>38</v>
      </c>
    </row>
    <row r="324" spans="1:12" x14ac:dyDescent="0.3">
      <c r="A324" t="s">
        <v>527</v>
      </c>
      <c r="B324" s="2">
        <v>46014</v>
      </c>
      <c r="C324" t="s">
        <v>528</v>
      </c>
      <c r="D324" t="s">
        <v>48</v>
      </c>
      <c r="E324" t="s">
        <v>84</v>
      </c>
      <c r="F324" t="s">
        <v>42</v>
      </c>
      <c r="G324">
        <v>2</v>
      </c>
      <c r="H324">
        <v>2567.2600000000002</v>
      </c>
      <c r="I324">
        <v>0.05</v>
      </c>
      <c r="J324">
        <v>4877.79</v>
      </c>
      <c r="K324" t="s">
        <v>37</v>
      </c>
      <c r="L324" t="s">
        <v>18</v>
      </c>
    </row>
    <row r="325" spans="1:12" x14ac:dyDescent="0.3">
      <c r="A325" t="s">
        <v>529</v>
      </c>
      <c r="B325" s="2">
        <v>45764</v>
      </c>
      <c r="C325" t="s">
        <v>390</v>
      </c>
      <c r="D325" t="s">
        <v>21</v>
      </c>
      <c r="E325" t="s">
        <v>49</v>
      </c>
      <c r="F325" t="s">
        <v>23</v>
      </c>
      <c r="G325">
        <v>3</v>
      </c>
      <c r="H325">
        <v>6353.61</v>
      </c>
      <c r="I325">
        <v>0</v>
      </c>
      <c r="J325">
        <v>19060.830000000002</v>
      </c>
      <c r="K325" t="s">
        <v>17</v>
      </c>
      <c r="L325" t="s">
        <v>18</v>
      </c>
    </row>
    <row r="326" spans="1:12" x14ac:dyDescent="0.3">
      <c r="A326" t="s">
        <v>530</v>
      </c>
      <c r="B326" s="2">
        <v>45945</v>
      </c>
      <c r="C326" t="s">
        <v>95</v>
      </c>
      <c r="D326" t="s">
        <v>14</v>
      </c>
      <c r="E326" t="s">
        <v>62</v>
      </c>
      <c r="F326" t="s">
        <v>23</v>
      </c>
      <c r="G326">
        <v>3</v>
      </c>
      <c r="H326">
        <v>1134.31</v>
      </c>
      <c r="I326">
        <v>0.05</v>
      </c>
      <c r="J326">
        <v>3232.78</v>
      </c>
      <c r="K326" t="s">
        <v>32</v>
      </c>
      <c r="L326" t="s">
        <v>29</v>
      </c>
    </row>
    <row r="327" spans="1:12" x14ac:dyDescent="0.3">
      <c r="A327" t="s">
        <v>531</v>
      </c>
      <c r="B327" s="2">
        <v>45970</v>
      </c>
      <c r="C327" t="s">
        <v>532</v>
      </c>
      <c r="D327" t="s">
        <v>21</v>
      </c>
      <c r="E327" t="s">
        <v>84</v>
      </c>
      <c r="F327" t="s">
        <v>42</v>
      </c>
      <c r="G327">
        <v>1</v>
      </c>
      <c r="H327">
        <v>2526.89</v>
      </c>
      <c r="I327">
        <v>0.15</v>
      </c>
      <c r="J327">
        <v>2147.86</v>
      </c>
      <c r="K327" t="s">
        <v>32</v>
      </c>
      <c r="L327" t="s">
        <v>29</v>
      </c>
    </row>
    <row r="328" spans="1:12" x14ac:dyDescent="0.3">
      <c r="A328" t="s">
        <v>533</v>
      </c>
      <c r="B328" s="2">
        <v>45713</v>
      </c>
      <c r="C328" t="s">
        <v>149</v>
      </c>
      <c r="D328" t="s">
        <v>27</v>
      </c>
      <c r="E328" t="s">
        <v>15</v>
      </c>
      <c r="F328" t="s">
        <v>16</v>
      </c>
      <c r="G328">
        <v>1</v>
      </c>
      <c r="H328">
        <v>19498.900000000001</v>
      </c>
      <c r="I328">
        <v>0.05</v>
      </c>
      <c r="J328">
        <v>18523.96</v>
      </c>
      <c r="K328" t="s">
        <v>17</v>
      </c>
      <c r="L328" t="s">
        <v>18</v>
      </c>
    </row>
    <row r="329" spans="1:12" x14ac:dyDescent="0.3">
      <c r="A329" t="s">
        <v>534</v>
      </c>
      <c r="B329" s="2">
        <v>45783</v>
      </c>
      <c r="C329" t="s">
        <v>535</v>
      </c>
      <c r="D329" t="s">
        <v>27</v>
      </c>
      <c r="E329" t="s">
        <v>56</v>
      </c>
      <c r="F329" t="s">
        <v>16</v>
      </c>
      <c r="G329">
        <v>2</v>
      </c>
      <c r="H329">
        <v>27107.38</v>
      </c>
      <c r="I329">
        <v>0.1</v>
      </c>
      <c r="J329">
        <v>48793.279999999999</v>
      </c>
      <c r="K329" t="s">
        <v>37</v>
      </c>
      <c r="L329" t="s">
        <v>29</v>
      </c>
    </row>
    <row r="330" spans="1:12" x14ac:dyDescent="0.3">
      <c r="A330" t="s">
        <v>536</v>
      </c>
      <c r="B330" s="2">
        <v>45978</v>
      </c>
      <c r="C330" t="s">
        <v>403</v>
      </c>
      <c r="D330" t="s">
        <v>21</v>
      </c>
      <c r="E330" t="s">
        <v>35</v>
      </c>
      <c r="F330" t="s">
        <v>36</v>
      </c>
      <c r="G330">
        <v>1</v>
      </c>
      <c r="H330">
        <v>1975.69</v>
      </c>
      <c r="I330">
        <v>0</v>
      </c>
      <c r="J330">
        <v>1975.69</v>
      </c>
      <c r="K330" t="s">
        <v>37</v>
      </c>
      <c r="L330" t="s">
        <v>18</v>
      </c>
    </row>
    <row r="331" spans="1:12" x14ac:dyDescent="0.3">
      <c r="A331" t="s">
        <v>537</v>
      </c>
      <c r="B331" s="2">
        <v>45917</v>
      </c>
      <c r="C331" t="s">
        <v>51</v>
      </c>
      <c r="D331" t="s">
        <v>14</v>
      </c>
      <c r="E331" t="s">
        <v>62</v>
      </c>
      <c r="F331" t="s">
        <v>23</v>
      </c>
      <c r="G331">
        <v>1</v>
      </c>
      <c r="H331">
        <v>1311.36</v>
      </c>
      <c r="I331">
        <v>0.05</v>
      </c>
      <c r="J331">
        <v>1245.79</v>
      </c>
      <c r="K331" t="s">
        <v>24</v>
      </c>
      <c r="L331" t="s">
        <v>18</v>
      </c>
    </row>
    <row r="332" spans="1:12" x14ac:dyDescent="0.3">
      <c r="A332" t="s">
        <v>538</v>
      </c>
      <c r="B332" s="2">
        <v>45902</v>
      </c>
      <c r="C332" t="s">
        <v>177</v>
      </c>
      <c r="D332" t="s">
        <v>109</v>
      </c>
      <c r="E332" t="s">
        <v>49</v>
      </c>
      <c r="F332" t="s">
        <v>23</v>
      </c>
      <c r="G332">
        <v>1</v>
      </c>
      <c r="H332">
        <v>6833.08</v>
      </c>
      <c r="I332">
        <v>0</v>
      </c>
      <c r="J332">
        <v>6833.08</v>
      </c>
      <c r="K332" t="s">
        <v>37</v>
      </c>
      <c r="L332" t="s">
        <v>38</v>
      </c>
    </row>
    <row r="333" spans="1:12" x14ac:dyDescent="0.3">
      <c r="A333" t="s">
        <v>539</v>
      </c>
      <c r="B333" s="2">
        <v>45931</v>
      </c>
      <c r="C333" t="s">
        <v>540</v>
      </c>
      <c r="D333" t="s">
        <v>27</v>
      </c>
      <c r="E333" t="s">
        <v>15</v>
      </c>
      <c r="F333" t="s">
        <v>16</v>
      </c>
      <c r="G333">
        <v>1</v>
      </c>
      <c r="H333">
        <v>20765.34</v>
      </c>
      <c r="I333">
        <v>0.05</v>
      </c>
      <c r="J333">
        <v>19727.07</v>
      </c>
      <c r="K333" t="s">
        <v>37</v>
      </c>
      <c r="L333" t="s">
        <v>18</v>
      </c>
    </row>
    <row r="334" spans="1:12" x14ac:dyDescent="0.3">
      <c r="A334" t="s">
        <v>541</v>
      </c>
      <c r="B334" s="2">
        <v>45725</v>
      </c>
      <c r="C334" t="s">
        <v>542</v>
      </c>
      <c r="D334" t="s">
        <v>45</v>
      </c>
      <c r="E334" t="s">
        <v>52</v>
      </c>
      <c r="F334" t="s">
        <v>16</v>
      </c>
      <c r="G334">
        <v>1</v>
      </c>
      <c r="H334">
        <v>7260.58</v>
      </c>
      <c r="I334">
        <v>0.05</v>
      </c>
      <c r="J334">
        <v>6897.55</v>
      </c>
      <c r="K334" t="s">
        <v>37</v>
      </c>
      <c r="L334" t="s">
        <v>29</v>
      </c>
    </row>
    <row r="335" spans="1:12" x14ac:dyDescent="0.3">
      <c r="A335" t="s">
        <v>543</v>
      </c>
      <c r="B335" s="2">
        <v>45699</v>
      </c>
      <c r="C335" t="s">
        <v>274</v>
      </c>
      <c r="D335" t="s">
        <v>45</v>
      </c>
      <c r="E335" t="s">
        <v>62</v>
      </c>
      <c r="F335" t="s">
        <v>23</v>
      </c>
      <c r="G335">
        <v>2</v>
      </c>
      <c r="H335">
        <v>1185.71</v>
      </c>
      <c r="I335">
        <v>0.15</v>
      </c>
      <c r="J335">
        <v>2015.71</v>
      </c>
      <c r="K335" t="s">
        <v>17</v>
      </c>
      <c r="L335" t="s">
        <v>18</v>
      </c>
    </row>
    <row r="336" spans="1:12" x14ac:dyDescent="0.3">
      <c r="A336" t="s">
        <v>544</v>
      </c>
      <c r="B336" s="2">
        <v>45981</v>
      </c>
      <c r="C336" t="s">
        <v>88</v>
      </c>
      <c r="D336" t="s">
        <v>21</v>
      </c>
      <c r="E336" t="s">
        <v>62</v>
      </c>
      <c r="F336" t="s">
        <v>23</v>
      </c>
      <c r="G336">
        <v>2</v>
      </c>
      <c r="H336">
        <v>1279.3699999999999</v>
      </c>
      <c r="J336">
        <v>2558.7399999999998</v>
      </c>
      <c r="K336" t="s">
        <v>17</v>
      </c>
      <c r="L336" t="s">
        <v>18</v>
      </c>
    </row>
    <row r="337" spans="1:12" x14ac:dyDescent="0.3">
      <c r="A337" t="s">
        <v>545</v>
      </c>
      <c r="B337" s="2">
        <v>45930</v>
      </c>
      <c r="C337" t="s">
        <v>58</v>
      </c>
      <c r="D337" t="s">
        <v>21</v>
      </c>
      <c r="E337" t="s">
        <v>49</v>
      </c>
      <c r="F337" t="s">
        <v>23</v>
      </c>
      <c r="G337">
        <v>2</v>
      </c>
      <c r="H337">
        <v>6372.31</v>
      </c>
      <c r="I337">
        <v>0.05</v>
      </c>
      <c r="J337">
        <v>12107.39</v>
      </c>
      <c r="K337" t="s">
        <v>24</v>
      </c>
      <c r="L337" t="s">
        <v>29</v>
      </c>
    </row>
    <row r="338" spans="1:12" x14ac:dyDescent="0.3">
      <c r="A338" t="s">
        <v>546</v>
      </c>
      <c r="B338" s="2">
        <v>45941</v>
      </c>
      <c r="C338" t="s">
        <v>547</v>
      </c>
      <c r="D338" t="s">
        <v>27</v>
      </c>
      <c r="E338" t="s">
        <v>62</v>
      </c>
      <c r="F338" t="s">
        <v>23</v>
      </c>
      <c r="G338">
        <v>2</v>
      </c>
      <c r="H338">
        <v>1174.83</v>
      </c>
      <c r="I338">
        <v>0</v>
      </c>
      <c r="J338">
        <v>2349.66</v>
      </c>
      <c r="K338" t="s">
        <v>37</v>
      </c>
      <c r="L338" t="s">
        <v>18</v>
      </c>
    </row>
    <row r="339" spans="1:12" x14ac:dyDescent="0.3">
      <c r="A339" t="s">
        <v>548</v>
      </c>
      <c r="B339" s="2">
        <v>45830</v>
      </c>
      <c r="C339" t="s">
        <v>208</v>
      </c>
      <c r="D339" t="s">
        <v>21</v>
      </c>
      <c r="E339" t="s">
        <v>28</v>
      </c>
      <c r="F339" t="s">
        <v>16</v>
      </c>
      <c r="G339">
        <v>4</v>
      </c>
      <c r="H339">
        <v>3342.17</v>
      </c>
      <c r="I339">
        <v>0.15</v>
      </c>
      <c r="J339">
        <v>11363.38</v>
      </c>
      <c r="K339" t="s">
        <v>24</v>
      </c>
      <c r="L339" t="s">
        <v>18</v>
      </c>
    </row>
    <row r="340" spans="1:12" x14ac:dyDescent="0.3">
      <c r="A340" t="s">
        <v>549</v>
      </c>
      <c r="B340" s="2">
        <v>45703</v>
      </c>
      <c r="C340" t="s">
        <v>276</v>
      </c>
      <c r="D340" t="s">
        <v>48</v>
      </c>
      <c r="E340" t="s">
        <v>41</v>
      </c>
      <c r="F340" t="s">
        <v>42</v>
      </c>
      <c r="G340">
        <v>1</v>
      </c>
      <c r="H340">
        <v>1528.25</v>
      </c>
      <c r="I340">
        <v>0.1</v>
      </c>
      <c r="J340">
        <v>1375.42</v>
      </c>
      <c r="K340" t="s">
        <v>37</v>
      </c>
      <c r="L340" t="s">
        <v>38</v>
      </c>
    </row>
    <row r="341" spans="1:12" x14ac:dyDescent="0.3">
      <c r="A341" t="s">
        <v>550</v>
      </c>
      <c r="B341" s="2">
        <v>45840</v>
      </c>
      <c r="C341" t="s">
        <v>401</v>
      </c>
      <c r="D341" t="s">
        <v>14</v>
      </c>
      <c r="E341" t="s">
        <v>62</v>
      </c>
      <c r="F341" t="s">
        <v>23</v>
      </c>
      <c r="G341">
        <v>1</v>
      </c>
      <c r="H341">
        <v>1198.06</v>
      </c>
      <c r="I341">
        <v>0.1</v>
      </c>
      <c r="J341">
        <v>1078.25</v>
      </c>
      <c r="K341" t="s">
        <v>37</v>
      </c>
      <c r="L341" t="s">
        <v>29</v>
      </c>
    </row>
    <row r="342" spans="1:12" x14ac:dyDescent="0.3">
      <c r="A342" t="s">
        <v>551</v>
      </c>
      <c r="B342" s="2">
        <v>45836</v>
      </c>
      <c r="C342" t="s">
        <v>428</v>
      </c>
      <c r="D342" t="s">
        <v>48</v>
      </c>
      <c r="E342" t="s">
        <v>49</v>
      </c>
      <c r="F342" t="s">
        <v>23</v>
      </c>
      <c r="G342">
        <v>2</v>
      </c>
      <c r="H342">
        <v>6320.95</v>
      </c>
      <c r="I342">
        <v>0.15</v>
      </c>
      <c r="J342">
        <v>10745.62</v>
      </c>
      <c r="K342" t="s">
        <v>17</v>
      </c>
      <c r="L342" t="s">
        <v>18</v>
      </c>
    </row>
    <row r="343" spans="1:12" x14ac:dyDescent="0.3">
      <c r="A343" t="s">
        <v>552</v>
      </c>
      <c r="B343" s="2">
        <v>45705</v>
      </c>
      <c r="C343" t="s">
        <v>415</v>
      </c>
      <c r="D343" t="s">
        <v>21</v>
      </c>
      <c r="E343" t="s">
        <v>41</v>
      </c>
      <c r="F343" t="s">
        <v>42</v>
      </c>
      <c r="G343">
        <v>2</v>
      </c>
      <c r="H343">
        <v>1745.94</v>
      </c>
      <c r="I343">
        <v>0.05</v>
      </c>
      <c r="J343">
        <v>3317.29</v>
      </c>
      <c r="K343" t="s">
        <v>37</v>
      </c>
      <c r="L343" t="s">
        <v>18</v>
      </c>
    </row>
    <row r="344" spans="1:12" x14ac:dyDescent="0.3">
      <c r="A344" t="s">
        <v>553</v>
      </c>
      <c r="B344" s="2">
        <v>45982</v>
      </c>
      <c r="C344" t="s">
        <v>137</v>
      </c>
      <c r="D344" t="s">
        <v>61</v>
      </c>
      <c r="E344" t="s">
        <v>41</v>
      </c>
      <c r="F344" t="s">
        <v>42</v>
      </c>
      <c r="G344">
        <v>3</v>
      </c>
      <c r="H344">
        <v>1722.71</v>
      </c>
      <c r="I344">
        <v>0</v>
      </c>
      <c r="J344">
        <v>5168.13</v>
      </c>
      <c r="K344" t="s">
        <v>24</v>
      </c>
      <c r="L344" t="s">
        <v>18</v>
      </c>
    </row>
    <row r="345" spans="1:12" x14ac:dyDescent="0.3">
      <c r="A345" t="s">
        <v>554</v>
      </c>
      <c r="B345" s="2">
        <v>45980</v>
      </c>
      <c r="C345" t="s">
        <v>44</v>
      </c>
      <c r="D345" t="s">
        <v>109</v>
      </c>
      <c r="E345" t="s">
        <v>84</v>
      </c>
      <c r="F345" t="s">
        <v>42</v>
      </c>
      <c r="G345">
        <v>2</v>
      </c>
      <c r="H345">
        <v>2537.11</v>
      </c>
      <c r="I345">
        <v>0.15</v>
      </c>
      <c r="J345">
        <v>4313.09</v>
      </c>
      <c r="K345" t="s">
        <v>24</v>
      </c>
      <c r="L345" t="s">
        <v>29</v>
      </c>
    </row>
    <row r="346" spans="1:12" x14ac:dyDescent="0.3">
      <c r="A346" t="s">
        <v>555</v>
      </c>
      <c r="B346" s="2">
        <v>45943</v>
      </c>
      <c r="C346" t="s">
        <v>556</v>
      </c>
      <c r="D346" t="s">
        <v>48</v>
      </c>
      <c r="E346" t="s">
        <v>35</v>
      </c>
      <c r="F346" t="s">
        <v>36</v>
      </c>
      <c r="G346">
        <v>3</v>
      </c>
      <c r="H346">
        <v>1883.9</v>
      </c>
      <c r="I346">
        <v>0</v>
      </c>
      <c r="J346">
        <v>5651.7</v>
      </c>
      <c r="K346" t="s">
        <v>17</v>
      </c>
      <c r="L346" t="s">
        <v>38</v>
      </c>
    </row>
    <row r="347" spans="1:12" x14ac:dyDescent="0.3">
      <c r="A347" t="s">
        <v>557</v>
      </c>
      <c r="B347" s="2">
        <v>45724</v>
      </c>
      <c r="C347" t="s">
        <v>149</v>
      </c>
      <c r="D347" t="s">
        <v>21</v>
      </c>
      <c r="E347" t="s">
        <v>28</v>
      </c>
      <c r="F347" t="s">
        <v>16</v>
      </c>
      <c r="G347">
        <v>5</v>
      </c>
      <c r="H347">
        <v>2881.48</v>
      </c>
      <c r="I347">
        <v>0</v>
      </c>
      <c r="J347">
        <v>14407.4</v>
      </c>
      <c r="K347" t="s">
        <v>37</v>
      </c>
      <c r="L347" t="s">
        <v>29</v>
      </c>
    </row>
    <row r="348" spans="1:12" x14ac:dyDescent="0.3">
      <c r="A348" t="s">
        <v>558</v>
      </c>
      <c r="B348" s="2">
        <v>45858</v>
      </c>
      <c r="C348" t="s">
        <v>559</v>
      </c>
      <c r="D348" t="s">
        <v>27</v>
      </c>
      <c r="E348" t="s">
        <v>56</v>
      </c>
      <c r="F348" t="s">
        <v>16</v>
      </c>
      <c r="G348">
        <v>1</v>
      </c>
      <c r="H348">
        <v>29802.79</v>
      </c>
      <c r="I348">
        <v>0.15</v>
      </c>
      <c r="J348">
        <v>25332.37</v>
      </c>
      <c r="K348" t="s">
        <v>32</v>
      </c>
      <c r="L348" t="s">
        <v>29</v>
      </c>
    </row>
    <row r="349" spans="1:12" x14ac:dyDescent="0.3">
      <c r="A349" t="s">
        <v>560</v>
      </c>
      <c r="B349" s="2">
        <v>45917</v>
      </c>
      <c r="C349" t="s">
        <v>242</v>
      </c>
      <c r="D349" t="s">
        <v>61</v>
      </c>
      <c r="E349" t="s">
        <v>56</v>
      </c>
      <c r="F349" t="s">
        <v>16</v>
      </c>
      <c r="G349">
        <v>1</v>
      </c>
      <c r="H349">
        <v>26769.87</v>
      </c>
      <c r="I349">
        <v>0.1</v>
      </c>
      <c r="J349">
        <v>24092.880000000001</v>
      </c>
      <c r="K349" t="s">
        <v>24</v>
      </c>
      <c r="L349" t="s">
        <v>18</v>
      </c>
    </row>
    <row r="350" spans="1:12" x14ac:dyDescent="0.3">
      <c r="A350" t="s">
        <v>561</v>
      </c>
      <c r="B350" s="2">
        <v>45702</v>
      </c>
      <c r="C350" t="s">
        <v>562</v>
      </c>
      <c r="D350" t="s">
        <v>14</v>
      </c>
      <c r="E350" t="s">
        <v>62</v>
      </c>
      <c r="F350" t="s">
        <v>23</v>
      </c>
      <c r="G350">
        <v>2</v>
      </c>
      <c r="H350">
        <v>1247.46</v>
      </c>
      <c r="I350">
        <v>0.05</v>
      </c>
      <c r="J350">
        <v>2370.17</v>
      </c>
      <c r="K350" t="s">
        <v>17</v>
      </c>
      <c r="L350" t="s">
        <v>38</v>
      </c>
    </row>
    <row r="351" spans="1:12" x14ac:dyDescent="0.3">
      <c r="A351" t="s">
        <v>563</v>
      </c>
      <c r="B351" s="2">
        <v>46015</v>
      </c>
      <c r="C351" t="s">
        <v>564</v>
      </c>
      <c r="D351" t="s">
        <v>109</v>
      </c>
      <c r="E351" t="s">
        <v>84</v>
      </c>
      <c r="F351" t="s">
        <v>42</v>
      </c>
      <c r="G351">
        <v>1</v>
      </c>
      <c r="H351">
        <v>2655.65</v>
      </c>
      <c r="I351">
        <v>0.15</v>
      </c>
      <c r="J351">
        <v>2257.3000000000002</v>
      </c>
      <c r="K351" t="s">
        <v>24</v>
      </c>
      <c r="L351" t="s">
        <v>29</v>
      </c>
    </row>
    <row r="352" spans="1:12" x14ac:dyDescent="0.3">
      <c r="A352" t="s">
        <v>565</v>
      </c>
      <c r="B352" s="2">
        <v>45872</v>
      </c>
      <c r="C352" t="s">
        <v>329</v>
      </c>
      <c r="D352" t="s">
        <v>48</v>
      </c>
      <c r="E352" t="s">
        <v>35</v>
      </c>
      <c r="F352" t="s">
        <v>36</v>
      </c>
      <c r="G352">
        <v>1</v>
      </c>
      <c r="H352">
        <v>1764.47</v>
      </c>
      <c r="I352">
        <v>0.15</v>
      </c>
      <c r="K352" t="s">
        <v>17</v>
      </c>
      <c r="L352" t="s">
        <v>38</v>
      </c>
    </row>
    <row r="353" spans="1:12" x14ac:dyDescent="0.3">
      <c r="A353" t="s">
        <v>566</v>
      </c>
      <c r="B353" s="2">
        <v>45926</v>
      </c>
      <c r="C353" t="s">
        <v>386</v>
      </c>
      <c r="D353" t="s">
        <v>14</v>
      </c>
      <c r="E353" t="s">
        <v>15</v>
      </c>
      <c r="F353" t="s">
        <v>16</v>
      </c>
      <c r="G353">
        <v>1</v>
      </c>
      <c r="H353">
        <v>21590</v>
      </c>
      <c r="I353">
        <v>0</v>
      </c>
      <c r="J353">
        <v>21590</v>
      </c>
      <c r="K353" t="s">
        <v>37</v>
      </c>
      <c r="L353" t="s">
        <v>18</v>
      </c>
    </row>
    <row r="354" spans="1:12" x14ac:dyDescent="0.3">
      <c r="A354" t="s">
        <v>567</v>
      </c>
      <c r="B354" s="2">
        <v>45731</v>
      </c>
      <c r="C354" t="s">
        <v>568</v>
      </c>
      <c r="D354" t="s">
        <v>21</v>
      </c>
      <c r="E354" t="s">
        <v>84</v>
      </c>
      <c r="F354" t="s">
        <v>42</v>
      </c>
      <c r="G354">
        <v>1</v>
      </c>
      <c r="H354">
        <v>3005.48</v>
      </c>
      <c r="I354">
        <v>0.1</v>
      </c>
      <c r="J354">
        <v>2704.93</v>
      </c>
      <c r="K354" t="s">
        <v>32</v>
      </c>
      <c r="L354" t="s">
        <v>29</v>
      </c>
    </row>
    <row r="355" spans="1:12" x14ac:dyDescent="0.3">
      <c r="A355" t="s">
        <v>569</v>
      </c>
      <c r="B355" s="2">
        <v>45710</v>
      </c>
      <c r="C355" t="s">
        <v>388</v>
      </c>
      <c r="D355" t="s">
        <v>61</v>
      </c>
      <c r="E355" t="s">
        <v>35</v>
      </c>
      <c r="F355" t="s">
        <v>36</v>
      </c>
      <c r="G355">
        <v>2</v>
      </c>
      <c r="H355">
        <v>1704.48</v>
      </c>
      <c r="I355">
        <v>0.05</v>
      </c>
      <c r="J355">
        <v>3238.51</v>
      </c>
      <c r="K355" t="s">
        <v>24</v>
      </c>
      <c r="L355" t="s">
        <v>29</v>
      </c>
    </row>
    <row r="356" spans="1:12" x14ac:dyDescent="0.3">
      <c r="A356" t="s">
        <v>570</v>
      </c>
      <c r="B356" s="2">
        <v>45947</v>
      </c>
      <c r="C356" t="s">
        <v>460</v>
      </c>
      <c r="D356" t="s">
        <v>109</v>
      </c>
      <c r="E356" t="s">
        <v>56</v>
      </c>
      <c r="F356" t="s">
        <v>16</v>
      </c>
      <c r="G356">
        <v>4</v>
      </c>
      <c r="H356">
        <v>27448.1</v>
      </c>
      <c r="I356">
        <v>0.1</v>
      </c>
      <c r="J356">
        <v>98813.16</v>
      </c>
      <c r="K356" t="s">
        <v>17</v>
      </c>
      <c r="L356" t="s">
        <v>18</v>
      </c>
    </row>
    <row r="357" spans="1:12" x14ac:dyDescent="0.3">
      <c r="A357" t="s">
        <v>571</v>
      </c>
      <c r="B357" s="2">
        <v>45811</v>
      </c>
      <c r="C357" t="s">
        <v>34</v>
      </c>
      <c r="D357" t="s">
        <v>48</v>
      </c>
      <c r="E357" t="s">
        <v>84</v>
      </c>
      <c r="F357" t="s">
        <v>42</v>
      </c>
      <c r="G357">
        <v>1</v>
      </c>
      <c r="H357">
        <v>2806.23</v>
      </c>
      <c r="I357">
        <v>0</v>
      </c>
      <c r="J357">
        <v>2806.23</v>
      </c>
      <c r="K357" t="s">
        <v>24</v>
      </c>
      <c r="L357" t="s">
        <v>38</v>
      </c>
    </row>
    <row r="358" spans="1:12" x14ac:dyDescent="0.3">
      <c r="A358" t="s">
        <v>572</v>
      </c>
      <c r="B358" s="2">
        <v>45977</v>
      </c>
      <c r="C358" t="s">
        <v>134</v>
      </c>
      <c r="D358" t="s">
        <v>21</v>
      </c>
      <c r="E358" t="s">
        <v>35</v>
      </c>
      <c r="F358" t="s">
        <v>36</v>
      </c>
      <c r="G358">
        <v>1</v>
      </c>
      <c r="H358">
        <v>1958.56</v>
      </c>
      <c r="I358">
        <v>0</v>
      </c>
      <c r="J358">
        <v>1958.56</v>
      </c>
      <c r="K358" t="s">
        <v>17</v>
      </c>
      <c r="L358" t="s">
        <v>38</v>
      </c>
    </row>
    <row r="359" spans="1:12" x14ac:dyDescent="0.3">
      <c r="A359" t="s">
        <v>573</v>
      </c>
      <c r="B359" s="2">
        <v>45995</v>
      </c>
      <c r="C359" t="s">
        <v>291</v>
      </c>
      <c r="D359" t="s">
        <v>14</v>
      </c>
      <c r="E359" t="s">
        <v>56</v>
      </c>
      <c r="F359" t="s">
        <v>16</v>
      </c>
      <c r="G359">
        <v>2</v>
      </c>
      <c r="H359">
        <v>28402.13</v>
      </c>
      <c r="I359">
        <v>0.15</v>
      </c>
      <c r="J359">
        <v>48283.62</v>
      </c>
      <c r="K359" t="s">
        <v>37</v>
      </c>
      <c r="L359" t="s">
        <v>18</v>
      </c>
    </row>
    <row r="360" spans="1:12" x14ac:dyDescent="0.3">
      <c r="A360" t="s">
        <v>574</v>
      </c>
      <c r="B360" s="2">
        <v>45875</v>
      </c>
      <c r="C360" t="s">
        <v>134</v>
      </c>
      <c r="D360" t="s">
        <v>27</v>
      </c>
      <c r="E360" t="s">
        <v>15</v>
      </c>
      <c r="F360" t="s">
        <v>16</v>
      </c>
      <c r="G360">
        <v>4</v>
      </c>
      <c r="H360">
        <v>19387.3</v>
      </c>
      <c r="I360">
        <v>0.1</v>
      </c>
      <c r="J360">
        <v>69794.28</v>
      </c>
      <c r="K360" t="s">
        <v>32</v>
      </c>
      <c r="L360" t="s">
        <v>29</v>
      </c>
    </row>
    <row r="361" spans="1:12" x14ac:dyDescent="0.3">
      <c r="A361" t="s">
        <v>575</v>
      </c>
      <c r="B361" s="2">
        <v>45670</v>
      </c>
      <c r="C361" t="s">
        <v>434</v>
      </c>
      <c r="D361" t="s">
        <v>27</v>
      </c>
      <c r="E361" t="s">
        <v>84</v>
      </c>
      <c r="F361" t="s">
        <v>42</v>
      </c>
      <c r="G361">
        <v>1</v>
      </c>
      <c r="H361">
        <v>2919.31</v>
      </c>
      <c r="I361">
        <v>0</v>
      </c>
      <c r="J361">
        <v>2919.31</v>
      </c>
      <c r="K361" t="s">
        <v>32</v>
      </c>
      <c r="L361" t="s">
        <v>29</v>
      </c>
    </row>
    <row r="362" spans="1:12" x14ac:dyDescent="0.3">
      <c r="A362" t="s">
        <v>576</v>
      </c>
      <c r="B362" s="2">
        <v>45868</v>
      </c>
      <c r="C362" t="s">
        <v>577</v>
      </c>
      <c r="D362" t="s">
        <v>45</v>
      </c>
      <c r="E362" t="s">
        <v>52</v>
      </c>
      <c r="F362" t="s">
        <v>16</v>
      </c>
      <c r="G362">
        <v>2</v>
      </c>
      <c r="H362">
        <v>6908.05</v>
      </c>
      <c r="I362">
        <v>0</v>
      </c>
      <c r="J362">
        <v>13816.1</v>
      </c>
      <c r="K362" t="s">
        <v>24</v>
      </c>
      <c r="L362" t="s">
        <v>18</v>
      </c>
    </row>
    <row r="363" spans="1:12" x14ac:dyDescent="0.3">
      <c r="A363" t="s">
        <v>578</v>
      </c>
      <c r="B363" s="2">
        <v>45803</v>
      </c>
      <c r="C363" t="s">
        <v>329</v>
      </c>
      <c r="D363" t="s">
        <v>14</v>
      </c>
      <c r="E363" t="s">
        <v>62</v>
      </c>
      <c r="F363" t="s">
        <v>23</v>
      </c>
      <c r="G363">
        <v>1</v>
      </c>
      <c r="H363">
        <v>1194.23</v>
      </c>
      <c r="I363">
        <v>0.15</v>
      </c>
      <c r="J363">
        <v>1015.1</v>
      </c>
      <c r="K363" t="s">
        <v>32</v>
      </c>
      <c r="L363" t="s">
        <v>18</v>
      </c>
    </row>
    <row r="364" spans="1:12" x14ac:dyDescent="0.3">
      <c r="A364" t="s">
        <v>579</v>
      </c>
      <c r="B364" s="2">
        <v>45673</v>
      </c>
      <c r="C364" t="s">
        <v>302</v>
      </c>
      <c r="D364" t="s">
        <v>27</v>
      </c>
      <c r="E364" t="s">
        <v>22</v>
      </c>
      <c r="F364" t="s">
        <v>23</v>
      </c>
      <c r="G364">
        <v>1</v>
      </c>
      <c r="H364">
        <v>5112.43</v>
      </c>
      <c r="I364">
        <v>0.05</v>
      </c>
      <c r="J364">
        <v>4856.8100000000004</v>
      </c>
      <c r="K364" t="s">
        <v>24</v>
      </c>
      <c r="L364" t="s">
        <v>18</v>
      </c>
    </row>
    <row r="365" spans="1:12" x14ac:dyDescent="0.3">
      <c r="A365" t="s">
        <v>580</v>
      </c>
      <c r="B365" s="2">
        <v>45819</v>
      </c>
      <c r="C365" t="s">
        <v>302</v>
      </c>
      <c r="D365" t="s">
        <v>61</v>
      </c>
      <c r="E365" t="s">
        <v>22</v>
      </c>
      <c r="F365" t="s">
        <v>23</v>
      </c>
      <c r="G365">
        <v>1</v>
      </c>
      <c r="H365">
        <v>5312.06</v>
      </c>
      <c r="I365">
        <v>0.1</v>
      </c>
      <c r="J365">
        <v>4780.8500000000004</v>
      </c>
      <c r="K365" t="s">
        <v>32</v>
      </c>
      <c r="L365" t="s">
        <v>29</v>
      </c>
    </row>
    <row r="366" spans="1:12" x14ac:dyDescent="0.3">
      <c r="A366" t="s">
        <v>581</v>
      </c>
      <c r="B366" s="2">
        <v>45722</v>
      </c>
      <c r="C366" t="s">
        <v>345</v>
      </c>
      <c r="D366" t="s">
        <v>45</v>
      </c>
      <c r="E366" t="s">
        <v>15</v>
      </c>
      <c r="F366" t="s">
        <v>16</v>
      </c>
      <c r="G366">
        <v>2</v>
      </c>
      <c r="H366">
        <v>21895.47</v>
      </c>
      <c r="I366">
        <v>0.05</v>
      </c>
      <c r="J366">
        <v>41601.39</v>
      </c>
      <c r="K366" t="s">
        <v>32</v>
      </c>
      <c r="L366" t="s">
        <v>18</v>
      </c>
    </row>
    <row r="367" spans="1:12" x14ac:dyDescent="0.3">
      <c r="A367" t="s">
        <v>582</v>
      </c>
      <c r="B367" s="2">
        <v>45960</v>
      </c>
      <c r="C367" t="s">
        <v>114</v>
      </c>
      <c r="D367" t="s">
        <v>109</v>
      </c>
      <c r="E367" t="s">
        <v>35</v>
      </c>
      <c r="F367" t="s">
        <v>36</v>
      </c>
      <c r="G367">
        <v>3</v>
      </c>
      <c r="H367">
        <v>1815.77</v>
      </c>
      <c r="I367">
        <v>0.1</v>
      </c>
      <c r="J367">
        <v>4902.58</v>
      </c>
      <c r="K367" t="s">
        <v>24</v>
      </c>
      <c r="L367" t="s">
        <v>18</v>
      </c>
    </row>
    <row r="368" spans="1:12" x14ac:dyDescent="0.3">
      <c r="A368" t="s">
        <v>583</v>
      </c>
      <c r="B368" s="2">
        <v>45820</v>
      </c>
      <c r="C368" t="s">
        <v>483</v>
      </c>
      <c r="D368" t="s">
        <v>14</v>
      </c>
      <c r="E368" t="s">
        <v>22</v>
      </c>
      <c r="F368" t="s">
        <v>23</v>
      </c>
      <c r="G368">
        <v>3</v>
      </c>
      <c r="H368">
        <v>5666.8</v>
      </c>
      <c r="I368">
        <v>0.1</v>
      </c>
      <c r="J368">
        <v>15300.36</v>
      </c>
      <c r="K368" t="s">
        <v>17</v>
      </c>
      <c r="L368" t="s">
        <v>18</v>
      </c>
    </row>
    <row r="369" spans="1:12" x14ac:dyDescent="0.3">
      <c r="A369" t="s">
        <v>584</v>
      </c>
      <c r="B369" s="2">
        <v>45845</v>
      </c>
      <c r="C369" t="s">
        <v>237</v>
      </c>
      <c r="D369" t="s">
        <v>48</v>
      </c>
      <c r="E369" t="s">
        <v>22</v>
      </c>
      <c r="F369" t="s">
        <v>23</v>
      </c>
      <c r="G369">
        <v>1</v>
      </c>
      <c r="H369">
        <v>5592.75</v>
      </c>
      <c r="I369">
        <v>0.1</v>
      </c>
      <c r="J369">
        <v>5033.4799999999996</v>
      </c>
      <c r="K369" t="s">
        <v>37</v>
      </c>
      <c r="L369" t="s">
        <v>18</v>
      </c>
    </row>
    <row r="370" spans="1:12" x14ac:dyDescent="0.3">
      <c r="A370" t="s">
        <v>585</v>
      </c>
      <c r="B370" s="2">
        <v>45940</v>
      </c>
      <c r="C370" t="s">
        <v>428</v>
      </c>
      <c r="D370" t="s">
        <v>109</v>
      </c>
      <c r="E370" t="s">
        <v>41</v>
      </c>
      <c r="F370" t="s">
        <v>42</v>
      </c>
      <c r="G370">
        <v>3</v>
      </c>
      <c r="H370">
        <v>1752.32</v>
      </c>
      <c r="I370">
        <v>0.05</v>
      </c>
      <c r="J370">
        <v>4994.1099999999997</v>
      </c>
      <c r="K370" t="s">
        <v>17</v>
      </c>
      <c r="L370" t="s">
        <v>18</v>
      </c>
    </row>
    <row r="371" spans="1:12" x14ac:dyDescent="0.3">
      <c r="A371" t="s">
        <v>586</v>
      </c>
      <c r="B371" s="2">
        <v>45810</v>
      </c>
      <c r="C371" t="s">
        <v>587</v>
      </c>
      <c r="D371" t="s">
        <v>61</v>
      </c>
      <c r="E371" t="s">
        <v>15</v>
      </c>
      <c r="F371" t="s">
        <v>16</v>
      </c>
      <c r="G371">
        <v>1</v>
      </c>
      <c r="H371">
        <v>20294.82</v>
      </c>
      <c r="I371">
        <v>0.05</v>
      </c>
      <c r="J371">
        <v>19280.080000000002</v>
      </c>
      <c r="K371" t="s">
        <v>24</v>
      </c>
      <c r="L371" t="s">
        <v>18</v>
      </c>
    </row>
    <row r="372" spans="1:12" x14ac:dyDescent="0.3">
      <c r="A372" t="s">
        <v>588</v>
      </c>
      <c r="B372" s="2">
        <v>45792</v>
      </c>
      <c r="C372" t="s">
        <v>269</v>
      </c>
      <c r="D372" t="s">
        <v>14</v>
      </c>
      <c r="E372" t="s">
        <v>35</v>
      </c>
      <c r="F372" t="s">
        <v>36</v>
      </c>
      <c r="G372">
        <v>2</v>
      </c>
      <c r="H372">
        <v>1858.68</v>
      </c>
      <c r="I372">
        <v>0.05</v>
      </c>
      <c r="J372">
        <v>3531.49</v>
      </c>
      <c r="K372" t="s">
        <v>37</v>
      </c>
      <c r="L372" t="s">
        <v>18</v>
      </c>
    </row>
    <row r="373" spans="1:12" x14ac:dyDescent="0.3">
      <c r="A373" t="s">
        <v>589</v>
      </c>
      <c r="B373" s="2">
        <v>45716</v>
      </c>
      <c r="C373" t="s">
        <v>456</v>
      </c>
      <c r="D373" t="s">
        <v>14</v>
      </c>
      <c r="E373" t="s">
        <v>41</v>
      </c>
      <c r="F373" t="s">
        <v>42</v>
      </c>
      <c r="G373">
        <v>2</v>
      </c>
      <c r="H373">
        <v>1506.27</v>
      </c>
      <c r="I373">
        <v>0</v>
      </c>
      <c r="J373">
        <v>3012.54</v>
      </c>
      <c r="K373" t="s">
        <v>37</v>
      </c>
      <c r="L373" t="s">
        <v>18</v>
      </c>
    </row>
    <row r="374" spans="1:12" x14ac:dyDescent="0.3">
      <c r="A374" t="s">
        <v>590</v>
      </c>
      <c r="B374" s="2">
        <v>45875</v>
      </c>
      <c r="C374" t="s">
        <v>423</v>
      </c>
      <c r="D374" t="s">
        <v>109</v>
      </c>
      <c r="E374" t="s">
        <v>28</v>
      </c>
      <c r="F374" t="s">
        <v>16</v>
      </c>
      <c r="G374">
        <v>1</v>
      </c>
      <c r="H374">
        <v>3183.24</v>
      </c>
      <c r="I374">
        <v>0.1</v>
      </c>
      <c r="J374">
        <v>2864.92</v>
      </c>
      <c r="K374" t="s">
        <v>32</v>
      </c>
      <c r="L374" t="s">
        <v>38</v>
      </c>
    </row>
    <row r="375" spans="1:12" x14ac:dyDescent="0.3">
      <c r="A375" t="s">
        <v>591</v>
      </c>
      <c r="B375" s="2">
        <v>45685</v>
      </c>
      <c r="C375" t="s">
        <v>185</v>
      </c>
      <c r="D375" t="s">
        <v>27</v>
      </c>
      <c r="E375" t="s">
        <v>41</v>
      </c>
      <c r="F375" t="s">
        <v>42</v>
      </c>
      <c r="G375">
        <v>5</v>
      </c>
      <c r="H375">
        <v>1748.09</v>
      </c>
      <c r="I375">
        <v>0.05</v>
      </c>
      <c r="J375">
        <v>8303.43</v>
      </c>
      <c r="K375" t="s">
        <v>37</v>
      </c>
      <c r="L375" t="s">
        <v>18</v>
      </c>
    </row>
    <row r="376" spans="1:12" x14ac:dyDescent="0.3">
      <c r="A376" t="s">
        <v>592</v>
      </c>
      <c r="B376" s="2">
        <v>45958</v>
      </c>
      <c r="C376" t="s">
        <v>141</v>
      </c>
      <c r="D376" t="s">
        <v>14</v>
      </c>
      <c r="E376" t="s">
        <v>28</v>
      </c>
      <c r="F376" t="s">
        <v>16</v>
      </c>
      <c r="G376">
        <v>1</v>
      </c>
      <c r="H376">
        <v>3380.05</v>
      </c>
      <c r="I376">
        <v>0.1</v>
      </c>
      <c r="J376">
        <v>3042.04</v>
      </c>
      <c r="K376" t="s">
        <v>37</v>
      </c>
      <c r="L376" t="s">
        <v>38</v>
      </c>
    </row>
    <row r="377" spans="1:12" x14ac:dyDescent="0.3">
      <c r="A377" t="s">
        <v>593</v>
      </c>
      <c r="B377" s="2">
        <v>45706</v>
      </c>
      <c r="C377" t="s">
        <v>40</v>
      </c>
      <c r="D377" t="s">
        <v>21</v>
      </c>
      <c r="E377" t="s">
        <v>35</v>
      </c>
      <c r="F377" t="s">
        <v>36</v>
      </c>
      <c r="G377">
        <v>1</v>
      </c>
      <c r="H377">
        <v>1713.57</v>
      </c>
      <c r="I377">
        <v>0.1</v>
      </c>
      <c r="J377">
        <v>1542.21</v>
      </c>
      <c r="K377" t="s">
        <v>24</v>
      </c>
      <c r="L377" t="s">
        <v>18</v>
      </c>
    </row>
    <row r="378" spans="1:12" x14ac:dyDescent="0.3">
      <c r="A378" t="s">
        <v>594</v>
      </c>
      <c r="B378" s="2">
        <v>45898</v>
      </c>
      <c r="C378" t="s">
        <v>595</v>
      </c>
      <c r="D378" t="s">
        <v>45</v>
      </c>
      <c r="E378" t="s">
        <v>49</v>
      </c>
      <c r="F378" t="s">
        <v>23</v>
      </c>
      <c r="G378">
        <v>3</v>
      </c>
      <c r="H378">
        <v>5930.86</v>
      </c>
      <c r="I378">
        <v>0.1</v>
      </c>
      <c r="J378">
        <v>16013.32</v>
      </c>
      <c r="K378" t="s">
        <v>32</v>
      </c>
      <c r="L378" t="s">
        <v>29</v>
      </c>
    </row>
    <row r="379" spans="1:12" x14ac:dyDescent="0.3">
      <c r="A379" t="s">
        <v>596</v>
      </c>
      <c r="B379" s="2">
        <v>45672</v>
      </c>
      <c r="C379" t="s">
        <v>562</v>
      </c>
      <c r="D379" t="s">
        <v>109</v>
      </c>
      <c r="F379" t="s">
        <v>23</v>
      </c>
      <c r="G379">
        <v>1</v>
      </c>
      <c r="H379">
        <v>6538.56</v>
      </c>
      <c r="I379">
        <v>0.2</v>
      </c>
      <c r="J379">
        <v>5230.8500000000004</v>
      </c>
      <c r="K379" t="s">
        <v>37</v>
      </c>
      <c r="L379" t="s">
        <v>38</v>
      </c>
    </row>
    <row r="380" spans="1:12" x14ac:dyDescent="0.3">
      <c r="A380" t="s">
        <v>597</v>
      </c>
      <c r="B380" s="2">
        <v>45959</v>
      </c>
      <c r="C380" t="s">
        <v>131</v>
      </c>
      <c r="D380" t="s">
        <v>61</v>
      </c>
      <c r="E380" t="s">
        <v>35</v>
      </c>
      <c r="F380" t="s">
        <v>36</v>
      </c>
      <c r="G380">
        <v>4</v>
      </c>
      <c r="H380">
        <v>1816.87</v>
      </c>
      <c r="I380">
        <v>0.1</v>
      </c>
      <c r="J380">
        <v>6540.73</v>
      </c>
      <c r="K380" t="s">
        <v>24</v>
      </c>
      <c r="L380" t="s">
        <v>29</v>
      </c>
    </row>
    <row r="381" spans="1:12" x14ac:dyDescent="0.3">
      <c r="A381" t="s">
        <v>598</v>
      </c>
      <c r="B381" s="2">
        <v>45866</v>
      </c>
      <c r="C381" t="s">
        <v>145</v>
      </c>
      <c r="D381" t="s">
        <v>45</v>
      </c>
      <c r="E381" t="s">
        <v>22</v>
      </c>
      <c r="F381" t="s">
        <v>23</v>
      </c>
      <c r="G381">
        <v>1</v>
      </c>
      <c r="H381">
        <v>5381.32</v>
      </c>
      <c r="I381">
        <v>0.15</v>
      </c>
      <c r="J381">
        <v>4574.12</v>
      </c>
      <c r="K381" t="s">
        <v>24</v>
      </c>
      <c r="L381" t="s">
        <v>38</v>
      </c>
    </row>
    <row r="382" spans="1:12" x14ac:dyDescent="0.3">
      <c r="A382" t="s">
        <v>599</v>
      </c>
      <c r="B382" s="2">
        <v>45705</v>
      </c>
      <c r="C382" t="s">
        <v>75</v>
      </c>
      <c r="D382" t="s">
        <v>14</v>
      </c>
      <c r="E382" t="s">
        <v>28</v>
      </c>
      <c r="F382" t="s">
        <v>16</v>
      </c>
      <c r="G382">
        <v>4</v>
      </c>
      <c r="H382">
        <v>3488.92</v>
      </c>
      <c r="I382">
        <v>0</v>
      </c>
      <c r="J382">
        <v>13955.68</v>
      </c>
      <c r="K382" t="s">
        <v>24</v>
      </c>
      <c r="L382" t="s">
        <v>18</v>
      </c>
    </row>
    <row r="383" spans="1:12" x14ac:dyDescent="0.3">
      <c r="A383" t="s">
        <v>600</v>
      </c>
      <c r="B383" s="2">
        <v>46015</v>
      </c>
      <c r="C383" t="s">
        <v>532</v>
      </c>
      <c r="D383" t="s">
        <v>109</v>
      </c>
      <c r="E383" t="s">
        <v>28</v>
      </c>
      <c r="F383" t="s">
        <v>16</v>
      </c>
      <c r="G383">
        <v>1</v>
      </c>
      <c r="H383">
        <v>2992.7</v>
      </c>
      <c r="I383">
        <v>0.15</v>
      </c>
      <c r="J383">
        <v>2543.79</v>
      </c>
      <c r="K383" t="s">
        <v>24</v>
      </c>
      <c r="L383" t="s">
        <v>18</v>
      </c>
    </row>
    <row r="384" spans="1:12" x14ac:dyDescent="0.3">
      <c r="A384" t="s">
        <v>601</v>
      </c>
      <c r="B384" s="2">
        <v>45956</v>
      </c>
      <c r="C384" t="s">
        <v>602</v>
      </c>
      <c r="D384" t="s">
        <v>109</v>
      </c>
      <c r="E384" t="s">
        <v>41</v>
      </c>
      <c r="F384" t="s">
        <v>42</v>
      </c>
      <c r="G384">
        <v>2</v>
      </c>
      <c r="H384">
        <v>1663.46</v>
      </c>
      <c r="I384">
        <v>0.05</v>
      </c>
      <c r="J384">
        <v>3160.57</v>
      </c>
      <c r="K384" t="s">
        <v>24</v>
      </c>
      <c r="L384" t="s">
        <v>29</v>
      </c>
    </row>
    <row r="385" spans="1:12" x14ac:dyDescent="0.3">
      <c r="A385" t="s">
        <v>603</v>
      </c>
      <c r="B385" s="2">
        <v>45978</v>
      </c>
      <c r="C385" t="s">
        <v>604</v>
      </c>
      <c r="D385" t="s">
        <v>61</v>
      </c>
      <c r="E385" t="s">
        <v>28</v>
      </c>
      <c r="F385" t="s">
        <v>16</v>
      </c>
      <c r="G385">
        <v>1</v>
      </c>
      <c r="H385">
        <v>3038.3</v>
      </c>
      <c r="I385">
        <v>0.1</v>
      </c>
      <c r="J385">
        <v>2734.47</v>
      </c>
      <c r="K385" t="s">
        <v>37</v>
      </c>
      <c r="L385" t="s">
        <v>18</v>
      </c>
    </row>
    <row r="386" spans="1:12" x14ac:dyDescent="0.3">
      <c r="A386" t="s">
        <v>605</v>
      </c>
      <c r="B386" s="2">
        <v>45731</v>
      </c>
      <c r="C386" t="s">
        <v>606</v>
      </c>
      <c r="D386" t="s">
        <v>45</v>
      </c>
      <c r="E386" t="s">
        <v>62</v>
      </c>
      <c r="F386" t="s">
        <v>23</v>
      </c>
      <c r="G386">
        <v>3</v>
      </c>
      <c r="H386">
        <v>1082.9000000000001</v>
      </c>
      <c r="I386">
        <v>0.05</v>
      </c>
      <c r="J386">
        <v>3086.27</v>
      </c>
      <c r="K386" t="s">
        <v>32</v>
      </c>
      <c r="L386" t="s">
        <v>38</v>
      </c>
    </row>
    <row r="387" spans="1:12" x14ac:dyDescent="0.3">
      <c r="A387" t="s">
        <v>607</v>
      </c>
      <c r="B387" s="2">
        <v>45979</v>
      </c>
      <c r="C387" t="s">
        <v>116</v>
      </c>
      <c r="D387" t="s">
        <v>14</v>
      </c>
      <c r="E387" t="s">
        <v>28</v>
      </c>
      <c r="F387" t="s">
        <v>16</v>
      </c>
      <c r="G387">
        <v>2</v>
      </c>
      <c r="H387">
        <v>3085.87</v>
      </c>
      <c r="I387">
        <v>0</v>
      </c>
      <c r="J387">
        <v>6171.74</v>
      </c>
      <c r="K387" t="s">
        <v>24</v>
      </c>
      <c r="L387" t="s">
        <v>18</v>
      </c>
    </row>
    <row r="388" spans="1:12" x14ac:dyDescent="0.3">
      <c r="A388" t="s">
        <v>608</v>
      </c>
      <c r="B388" s="2">
        <v>45922</v>
      </c>
      <c r="C388" t="s">
        <v>470</v>
      </c>
      <c r="D388" t="s">
        <v>61</v>
      </c>
      <c r="E388" t="s">
        <v>56</v>
      </c>
      <c r="F388" t="s">
        <v>16</v>
      </c>
      <c r="G388">
        <v>1</v>
      </c>
      <c r="H388">
        <v>25863.61</v>
      </c>
      <c r="I388">
        <v>0.1</v>
      </c>
      <c r="J388">
        <v>23277.25</v>
      </c>
      <c r="K388" t="s">
        <v>17</v>
      </c>
      <c r="L388" t="s">
        <v>38</v>
      </c>
    </row>
    <row r="389" spans="1:12" x14ac:dyDescent="0.3">
      <c r="A389" t="s">
        <v>609</v>
      </c>
      <c r="B389" s="2">
        <v>45774</v>
      </c>
      <c r="C389" t="s">
        <v>610</v>
      </c>
      <c r="D389" t="s">
        <v>14</v>
      </c>
      <c r="E389" t="s">
        <v>62</v>
      </c>
      <c r="F389" t="s">
        <v>23</v>
      </c>
      <c r="G389">
        <v>2</v>
      </c>
      <c r="H389">
        <v>1232.51</v>
      </c>
      <c r="I389">
        <v>0.05</v>
      </c>
      <c r="J389">
        <v>2341.77</v>
      </c>
      <c r="K389" t="s">
        <v>17</v>
      </c>
      <c r="L389" t="s">
        <v>38</v>
      </c>
    </row>
    <row r="390" spans="1:12" x14ac:dyDescent="0.3">
      <c r="A390" t="s">
        <v>611</v>
      </c>
      <c r="B390" s="2">
        <v>45838</v>
      </c>
      <c r="C390" t="s">
        <v>612</v>
      </c>
      <c r="D390" t="s">
        <v>109</v>
      </c>
      <c r="E390" t="s">
        <v>35</v>
      </c>
      <c r="F390" t="s">
        <v>36</v>
      </c>
      <c r="G390">
        <v>1</v>
      </c>
      <c r="H390">
        <v>1710.36</v>
      </c>
      <c r="I390">
        <v>0.1</v>
      </c>
      <c r="J390">
        <v>1539.32</v>
      </c>
      <c r="K390" t="s">
        <v>32</v>
      </c>
      <c r="L390" t="s">
        <v>38</v>
      </c>
    </row>
    <row r="391" spans="1:12" x14ac:dyDescent="0.3">
      <c r="A391" t="s">
        <v>613</v>
      </c>
      <c r="B391" s="2">
        <v>45972</v>
      </c>
      <c r="C391" t="s">
        <v>342</v>
      </c>
      <c r="D391" t="s">
        <v>27</v>
      </c>
      <c r="E391" t="s">
        <v>22</v>
      </c>
      <c r="F391" t="s">
        <v>23</v>
      </c>
      <c r="G391">
        <v>3</v>
      </c>
      <c r="H391">
        <v>4708.62</v>
      </c>
      <c r="I391">
        <v>0.2</v>
      </c>
      <c r="J391">
        <v>11300.69</v>
      </c>
      <c r="K391" t="s">
        <v>37</v>
      </c>
      <c r="L391" t="s">
        <v>18</v>
      </c>
    </row>
    <row r="392" spans="1:12" x14ac:dyDescent="0.3">
      <c r="A392" t="s">
        <v>614</v>
      </c>
      <c r="B392" s="2">
        <v>45725</v>
      </c>
      <c r="C392" t="s">
        <v>615</v>
      </c>
      <c r="D392" t="s">
        <v>14</v>
      </c>
      <c r="E392" t="s">
        <v>52</v>
      </c>
      <c r="F392" t="s">
        <v>16</v>
      </c>
      <c r="G392">
        <v>1</v>
      </c>
      <c r="H392">
        <v>7087.34</v>
      </c>
      <c r="I392">
        <v>0.1</v>
      </c>
      <c r="J392">
        <v>6378.61</v>
      </c>
      <c r="K392" t="s">
        <v>32</v>
      </c>
      <c r="L392" t="s">
        <v>29</v>
      </c>
    </row>
    <row r="393" spans="1:12" x14ac:dyDescent="0.3">
      <c r="A393" t="s">
        <v>616</v>
      </c>
      <c r="B393" s="2">
        <v>45960</v>
      </c>
      <c r="C393" t="s">
        <v>617</v>
      </c>
      <c r="D393" t="s">
        <v>109</v>
      </c>
      <c r="E393" t="s">
        <v>62</v>
      </c>
      <c r="F393" t="s">
        <v>23</v>
      </c>
      <c r="G393">
        <v>2</v>
      </c>
      <c r="H393">
        <v>1164.73</v>
      </c>
      <c r="I393">
        <v>0</v>
      </c>
      <c r="J393">
        <v>2329.46</v>
      </c>
      <c r="K393" t="s">
        <v>32</v>
      </c>
      <c r="L393" t="s">
        <v>18</v>
      </c>
    </row>
    <row r="394" spans="1:12" x14ac:dyDescent="0.3">
      <c r="A394" t="s">
        <v>618</v>
      </c>
      <c r="B394" s="2">
        <v>45766</v>
      </c>
      <c r="C394" t="s">
        <v>450</v>
      </c>
      <c r="D394" t="s">
        <v>27</v>
      </c>
      <c r="E394" t="s">
        <v>41</v>
      </c>
      <c r="F394" t="s">
        <v>42</v>
      </c>
      <c r="G394">
        <v>3</v>
      </c>
      <c r="H394">
        <v>1614.24</v>
      </c>
      <c r="I394">
        <v>0.15</v>
      </c>
      <c r="J394">
        <v>4116.3100000000004</v>
      </c>
      <c r="K394" t="s">
        <v>32</v>
      </c>
      <c r="L394" t="s">
        <v>18</v>
      </c>
    </row>
    <row r="395" spans="1:12" x14ac:dyDescent="0.3">
      <c r="A395" t="s">
        <v>619</v>
      </c>
      <c r="B395" s="2">
        <v>45928</v>
      </c>
      <c r="C395" t="s">
        <v>216</v>
      </c>
      <c r="D395" t="s">
        <v>27</v>
      </c>
      <c r="E395" t="s">
        <v>22</v>
      </c>
      <c r="F395" t="s">
        <v>23</v>
      </c>
      <c r="G395">
        <v>1</v>
      </c>
      <c r="H395">
        <v>4751.7700000000004</v>
      </c>
      <c r="I395">
        <v>0</v>
      </c>
      <c r="J395">
        <v>4751.7700000000004</v>
      </c>
      <c r="K395" t="s">
        <v>17</v>
      </c>
      <c r="L395" t="s">
        <v>18</v>
      </c>
    </row>
    <row r="396" spans="1:12" x14ac:dyDescent="0.3">
      <c r="A396" t="s">
        <v>620</v>
      </c>
      <c r="B396" s="2">
        <v>45681</v>
      </c>
      <c r="C396" t="s">
        <v>423</v>
      </c>
      <c r="D396" t="s">
        <v>14</v>
      </c>
      <c r="E396" t="s">
        <v>41</v>
      </c>
      <c r="F396" t="s">
        <v>42</v>
      </c>
      <c r="G396">
        <v>1</v>
      </c>
      <c r="H396">
        <v>1687.65</v>
      </c>
      <c r="I396">
        <v>0.1</v>
      </c>
      <c r="J396">
        <v>1518.89</v>
      </c>
      <c r="K396" t="s">
        <v>24</v>
      </c>
      <c r="L396" t="s">
        <v>38</v>
      </c>
    </row>
    <row r="397" spans="1:12" x14ac:dyDescent="0.3">
      <c r="A397" t="s">
        <v>621</v>
      </c>
      <c r="B397" s="2">
        <v>45911</v>
      </c>
      <c r="C397" t="s">
        <v>428</v>
      </c>
      <c r="D397" t="s">
        <v>48</v>
      </c>
      <c r="E397" t="s">
        <v>62</v>
      </c>
      <c r="F397" t="s">
        <v>23</v>
      </c>
      <c r="G397">
        <v>1</v>
      </c>
      <c r="H397">
        <v>1089.02</v>
      </c>
      <c r="I397">
        <v>0.05</v>
      </c>
      <c r="J397">
        <v>1034.57</v>
      </c>
      <c r="K397" t="s">
        <v>37</v>
      </c>
      <c r="L397" t="s">
        <v>18</v>
      </c>
    </row>
    <row r="398" spans="1:12" x14ac:dyDescent="0.3">
      <c r="A398" t="s">
        <v>622</v>
      </c>
      <c r="B398" s="2">
        <v>45760</v>
      </c>
      <c r="C398" t="s">
        <v>413</v>
      </c>
      <c r="D398" t="s">
        <v>45</v>
      </c>
      <c r="E398" t="s">
        <v>49</v>
      </c>
      <c r="F398" t="s">
        <v>23</v>
      </c>
      <c r="G398">
        <v>2</v>
      </c>
      <c r="H398">
        <v>7115</v>
      </c>
      <c r="I398">
        <v>0</v>
      </c>
      <c r="J398">
        <v>14230</v>
      </c>
      <c r="K398" t="s">
        <v>37</v>
      </c>
      <c r="L398" t="s">
        <v>18</v>
      </c>
    </row>
    <row r="399" spans="1:12" x14ac:dyDescent="0.3">
      <c r="A399" t="s">
        <v>623</v>
      </c>
      <c r="B399" s="2">
        <v>45896</v>
      </c>
      <c r="C399" t="s">
        <v>398</v>
      </c>
      <c r="D399" t="s">
        <v>45</v>
      </c>
      <c r="E399" t="s">
        <v>22</v>
      </c>
      <c r="F399" t="s">
        <v>23</v>
      </c>
      <c r="G399">
        <v>1</v>
      </c>
      <c r="H399">
        <v>5002.49</v>
      </c>
      <c r="I399">
        <v>0</v>
      </c>
      <c r="J399">
        <v>5002.49</v>
      </c>
      <c r="K399" t="s">
        <v>37</v>
      </c>
      <c r="L399" t="s">
        <v>18</v>
      </c>
    </row>
    <row r="400" spans="1:12" x14ac:dyDescent="0.3">
      <c r="A400" t="s">
        <v>624</v>
      </c>
      <c r="B400" s="2">
        <v>45863</v>
      </c>
      <c r="C400" t="s">
        <v>122</v>
      </c>
      <c r="D400" t="s">
        <v>48</v>
      </c>
      <c r="E400" t="s">
        <v>15</v>
      </c>
      <c r="F400" t="s">
        <v>16</v>
      </c>
      <c r="G400">
        <v>1</v>
      </c>
      <c r="H400">
        <v>22330.47</v>
      </c>
      <c r="I400">
        <v>0.1</v>
      </c>
      <c r="J400">
        <v>20097.419999999998</v>
      </c>
      <c r="K400" t="s">
        <v>32</v>
      </c>
      <c r="L400" t="s">
        <v>38</v>
      </c>
    </row>
    <row r="401" spans="1:12" x14ac:dyDescent="0.3">
      <c r="A401" t="s">
        <v>625</v>
      </c>
      <c r="B401" s="2">
        <v>45806</v>
      </c>
      <c r="C401" t="s">
        <v>47</v>
      </c>
      <c r="E401" t="s">
        <v>41</v>
      </c>
      <c r="F401" t="s">
        <v>42</v>
      </c>
      <c r="G401">
        <v>5</v>
      </c>
      <c r="H401">
        <v>1565.82</v>
      </c>
      <c r="I401">
        <v>0.1</v>
      </c>
      <c r="J401">
        <v>7046.19</v>
      </c>
      <c r="K401" t="s">
        <v>32</v>
      </c>
      <c r="L401" t="s">
        <v>18</v>
      </c>
    </row>
    <row r="402" spans="1:12" x14ac:dyDescent="0.3">
      <c r="A402" t="s">
        <v>626</v>
      </c>
      <c r="B402" s="2">
        <v>45666</v>
      </c>
      <c r="C402" t="s">
        <v>627</v>
      </c>
      <c r="D402" t="s">
        <v>14</v>
      </c>
      <c r="E402" t="s">
        <v>62</v>
      </c>
      <c r="F402" t="s">
        <v>23</v>
      </c>
      <c r="G402">
        <v>2</v>
      </c>
      <c r="H402">
        <v>1267.3499999999999</v>
      </c>
      <c r="I402">
        <v>0</v>
      </c>
      <c r="J402">
        <v>2534.6999999999998</v>
      </c>
      <c r="K402" t="s">
        <v>32</v>
      </c>
      <c r="L402" t="s">
        <v>18</v>
      </c>
    </row>
    <row r="403" spans="1:12" x14ac:dyDescent="0.3">
      <c r="A403" t="s">
        <v>628</v>
      </c>
      <c r="B403" s="2">
        <v>46014</v>
      </c>
      <c r="C403" t="s">
        <v>401</v>
      </c>
      <c r="D403" t="s">
        <v>27</v>
      </c>
      <c r="E403" t="s">
        <v>15</v>
      </c>
      <c r="F403" t="s">
        <v>16</v>
      </c>
      <c r="G403">
        <v>2</v>
      </c>
      <c r="H403">
        <v>21900.58</v>
      </c>
      <c r="I403">
        <v>0</v>
      </c>
      <c r="J403">
        <v>43801.16</v>
      </c>
      <c r="K403" t="s">
        <v>37</v>
      </c>
      <c r="L403" t="s">
        <v>29</v>
      </c>
    </row>
    <row r="404" spans="1:12" x14ac:dyDescent="0.3">
      <c r="A404" t="s">
        <v>629</v>
      </c>
      <c r="B404" s="2">
        <v>45928</v>
      </c>
      <c r="C404" t="s">
        <v>367</v>
      </c>
      <c r="D404" t="s">
        <v>61</v>
      </c>
      <c r="E404" t="s">
        <v>28</v>
      </c>
      <c r="F404" t="s">
        <v>16</v>
      </c>
      <c r="G404">
        <v>5</v>
      </c>
      <c r="H404">
        <v>2981.78</v>
      </c>
      <c r="I404">
        <v>0.05</v>
      </c>
      <c r="J404">
        <v>14163.46</v>
      </c>
      <c r="K404" t="s">
        <v>17</v>
      </c>
      <c r="L404" t="s">
        <v>38</v>
      </c>
    </row>
    <row r="405" spans="1:12" x14ac:dyDescent="0.3">
      <c r="A405" t="s">
        <v>630</v>
      </c>
      <c r="B405" s="2">
        <v>45908</v>
      </c>
      <c r="C405" t="s">
        <v>398</v>
      </c>
      <c r="D405" t="s">
        <v>45</v>
      </c>
      <c r="E405" t="s">
        <v>56</v>
      </c>
      <c r="F405" t="s">
        <v>16</v>
      </c>
      <c r="G405">
        <v>1</v>
      </c>
      <c r="H405">
        <v>27129.78</v>
      </c>
      <c r="I405">
        <v>0.15</v>
      </c>
      <c r="J405">
        <v>23060.31</v>
      </c>
      <c r="K405" t="s">
        <v>37</v>
      </c>
      <c r="L405" t="s">
        <v>18</v>
      </c>
    </row>
    <row r="406" spans="1:12" x14ac:dyDescent="0.3">
      <c r="A406" t="s">
        <v>631</v>
      </c>
      <c r="B406" s="2">
        <v>45733</v>
      </c>
      <c r="C406" t="s">
        <v>632</v>
      </c>
      <c r="D406" t="s">
        <v>61</v>
      </c>
      <c r="E406" t="s">
        <v>15</v>
      </c>
      <c r="F406" t="s">
        <v>16</v>
      </c>
      <c r="G406">
        <v>5</v>
      </c>
      <c r="H406">
        <v>21844.91</v>
      </c>
      <c r="I406">
        <v>0.15</v>
      </c>
      <c r="J406">
        <v>92840.87</v>
      </c>
      <c r="K406" t="s">
        <v>37</v>
      </c>
      <c r="L406" t="s">
        <v>38</v>
      </c>
    </row>
    <row r="407" spans="1:12" x14ac:dyDescent="0.3">
      <c r="A407" t="s">
        <v>633</v>
      </c>
      <c r="B407" s="2">
        <v>45785</v>
      </c>
      <c r="C407" t="s">
        <v>318</v>
      </c>
      <c r="D407" t="s">
        <v>109</v>
      </c>
      <c r="E407" t="s">
        <v>62</v>
      </c>
      <c r="F407" t="s">
        <v>23</v>
      </c>
      <c r="G407">
        <v>1</v>
      </c>
      <c r="H407">
        <v>1268.69</v>
      </c>
      <c r="I407">
        <v>0</v>
      </c>
      <c r="J407">
        <v>1268.69</v>
      </c>
      <c r="K407" t="s">
        <v>37</v>
      </c>
      <c r="L407" t="s">
        <v>18</v>
      </c>
    </row>
    <row r="408" spans="1:12" x14ac:dyDescent="0.3">
      <c r="A408" t="s">
        <v>634</v>
      </c>
      <c r="B408" s="2">
        <v>45846</v>
      </c>
      <c r="C408" t="s">
        <v>456</v>
      </c>
      <c r="D408" t="s">
        <v>14</v>
      </c>
      <c r="E408" t="s">
        <v>41</v>
      </c>
      <c r="F408" t="s">
        <v>42</v>
      </c>
      <c r="G408">
        <v>1</v>
      </c>
      <c r="H408">
        <v>1750.48</v>
      </c>
      <c r="I408">
        <v>0.1</v>
      </c>
      <c r="J408">
        <v>1575.43</v>
      </c>
      <c r="K408" t="s">
        <v>37</v>
      </c>
      <c r="L408" t="s">
        <v>38</v>
      </c>
    </row>
    <row r="409" spans="1:12" x14ac:dyDescent="0.3">
      <c r="A409" t="s">
        <v>635</v>
      </c>
      <c r="B409" s="2">
        <v>45940</v>
      </c>
      <c r="C409" t="s">
        <v>602</v>
      </c>
      <c r="D409" t="s">
        <v>48</v>
      </c>
      <c r="E409" t="s">
        <v>62</v>
      </c>
      <c r="F409" t="s">
        <v>23</v>
      </c>
      <c r="G409">
        <v>4</v>
      </c>
      <c r="H409">
        <v>1201.1500000000001</v>
      </c>
      <c r="I409">
        <v>0</v>
      </c>
      <c r="J409">
        <v>4804.6000000000004</v>
      </c>
      <c r="K409" t="s">
        <v>32</v>
      </c>
      <c r="L409" t="s">
        <v>18</v>
      </c>
    </row>
    <row r="410" spans="1:12" x14ac:dyDescent="0.3">
      <c r="A410" t="s">
        <v>636</v>
      </c>
      <c r="B410" s="2">
        <v>45746</v>
      </c>
      <c r="C410" t="s">
        <v>295</v>
      </c>
      <c r="D410" t="s">
        <v>61</v>
      </c>
      <c r="E410" t="s">
        <v>41</v>
      </c>
      <c r="F410" t="s">
        <v>42</v>
      </c>
      <c r="G410">
        <v>2</v>
      </c>
      <c r="H410">
        <v>1482.15</v>
      </c>
      <c r="I410">
        <v>0.05</v>
      </c>
      <c r="J410">
        <v>2816.08</v>
      </c>
      <c r="K410" t="s">
        <v>32</v>
      </c>
      <c r="L410" t="s">
        <v>29</v>
      </c>
    </row>
    <row r="411" spans="1:12" x14ac:dyDescent="0.3">
      <c r="A411" t="s">
        <v>637</v>
      </c>
      <c r="B411" s="2">
        <v>45863</v>
      </c>
      <c r="C411" t="s">
        <v>75</v>
      </c>
      <c r="D411" t="s">
        <v>61</v>
      </c>
      <c r="E411" t="s">
        <v>15</v>
      </c>
      <c r="F411" t="s">
        <v>16</v>
      </c>
      <c r="G411">
        <v>3</v>
      </c>
      <c r="H411">
        <v>19197.740000000002</v>
      </c>
      <c r="I411">
        <v>0.05</v>
      </c>
      <c r="J411">
        <v>54713.56</v>
      </c>
      <c r="K411" t="s">
        <v>17</v>
      </c>
      <c r="L411" t="s">
        <v>38</v>
      </c>
    </row>
    <row r="412" spans="1:12" x14ac:dyDescent="0.3">
      <c r="A412" t="s">
        <v>638</v>
      </c>
      <c r="B412" s="2">
        <v>45770</v>
      </c>
      <c r="C412" t="s">
        <v>276</v>
      </c>
      <c r="D412" t="s">
        <v>48</v>
      </c>
      <c r="E412" t="s">
        <v>52</v>
      </c>
      <c r="F412" t="s">
        <v>16</v>
      </c>
      <c r="G412">
        <v>2</v>
      </c>
      <c r="H412">
        <v>6994.22</v>
      </c>
      <c r="I412">
        <v>0</v>
      </c>
      <c r="J412">
        <v>13988.44</v>
      </c>
      <c r="K412" t="s">
        <v>37</v>
      </c>
      <c r="L412" t="s">
        <v>18</v>
      </c>
    </row>
    <row r="413" spans="1:12" x14ac:dyDescent="0.3">
      <c r="A413" t="s">
        <v>639</v>
      </c>
      <c r="B413" s="2">
        <v>45991</v>
      </c>
      <c r="C413" t="s">
        <v>542</v>
      </c>
      <c r="D413" t="s">
        <v>48</v>
      </c>
      <c r="E413" t="s">
        <v>15</v>
      </c>
      <c r="F413" t="s">
        <v>16</v>
      </c>
      <c r="G413">
        <v>2</v>
      </c>
      <c r="H413">
        <v>21977.34</v>
      </c>
      <c r="I413">
        <v>0</v>
      </c>
      <c r="J413">
        <v>43954.68</v>
      </c>
      <c r="K413" t="s">
        <v>32</v>
      </c>
      <c r="L413" t="s">
        <v>29</v>
      </c>
    </row>
    <row r="414" spans="1:12" x14ac:dyDescent="0.3">
      <c r="A414" t="s">
        <v>640</v>
      </c>
      <c r="B414" s="2">
        <v>45704</v>
      </c>
      <c r="C414" t="s">
        <v>395</v>
      </c>
      <c r="D414" t="s">
        <v>21</v>
      </c>
      <c r="E414" t="s">
        <v>15</v>
      </c>
      <c r="F414" t="s">
        <v>16</v>
      </c>
      <c r="G414">
        <v>1</v>
      </c>
      <c r="H414">
        <v>20296.32</v>
      </c>
      <c r="I414">
        <v>0.1</v>
      </c>
      <c r="J414">
        <v>18266.689999999999</v>
      </c>
      <c r="K414" t="s">
        <v>37</v>
      </c>
      <c r="L414" t="s">
        <v>29</v>
      </c>
    </row>
    <row r="415" spans="1:12" x14ac:dyDescent="0.3">
      <c r="A415" t="s">
        <v>641</v>
      </c>
      <c r="B415" s="2">
        <v>45967</v>
      </c>
      <c r="C415" t="s">
        <v>295</v>
      </c>
      <c r="D415" t="s">
        <v>45</v>
      </c>
      <c r="E415" t="s">
        <v>84</v>
      </c>
      <c r="F415" t="s">
        <v>42</v>
      </c>
      <c r="G415">
        <v>2</v>
      </c>
      <c r="H415">
        <v>2754.27</v>
      </c>
      <c r="I415">
        <v>0</v>
      </c>
      <c r="J415">
        <v>5508.54</v>
      </c>
      <c r="K415" t="s">
        <v>32</v>
      </c>
      <c r="L415" t="s">
        <v>18</v>
      </c>
    </row>
    <row r="416" spans="1:12" x14ac:dyDescent="0.3">
      <c r="A416" t="s">
        <v>642</v>
      </c>
      <c r="B416" s="2">
        <v>45674</v>
      </c>
      <c r="C416" t="s">
        <v>225</v>
      </c>
      <c r="D416" t="s">
        <v>48</v>
      </c>
      <c r="E416" t="s">
        <v>49</v>
      </c>
      <c r="F416" t="s">
        <v>23</v>
      </c>
      <c r="G416">
        <v>5</v>
      </c>
      <c r="H416">
        <v>6524.31</v>
      </c>
      <c r="I416">
        <v>0</v>
      </c>
      <c r="J416">
        <v>32621.55</v>
      </c>
      <c r="K416" t="s">
        <v>24</v>
      </c>
      <c r="L416" t="s">
        <v>18</v>
      </c>
    </row>
    <row r="417" spans="1:12" x14ac:dyDescent="0.3">
      <c r="A417" t="s">
        <v>643</v>
      </c>
      <c r="B417" s="2">
        <v>45876</v>
      </c>
      <c r="C417" t="s">
        <v>644</v>
      </c>
      <c r="D417" t="s">
        <v>21</v>
      </c>
      <c r="E417" t="s">
        <v>49</v>
      </c>
      <c r="F417" t="s">
        <v>23</v>
      </c>
      <c r="G417">
        <v>2</v>
      </c>
      <c r="H417">
        <v>6399.55</v>
      </c>
      <c r="I417">
        <v>0.1</v>
      </c>
      <c r="J417">
        <v>11519.19</v>
      </c>
      <c r="K417" t="s">
        <v>17</v>
      </c>
      <c r="L417" t="s">
        <v>18</v>
      </c>
    </row>
    <row r="418" spans="1:12" x14ac:dyDescent="0.3">
      <c r="A418" t="s">
        <v>645</v>
      </c>
      <c r="B418" s="2">
        <v>45731</v>
      </c>
      <c r="C418" t="s">
        <v>413</v>
      </c>
      <c r="D418" t="s">
        <v>48</v>
      </c>
      <c r="E418" t="s">
        <v>28</v>
      </c>
      <c r="F418" t="s">
        <v>16</v>
      </c>
      <c r="G418">
        <v>1</v>
      </c>
      <c r="H418">
        <v>3063.98</v>
      </c>
      <c r="I418">
        <v>0</v>
      </c>
      <c r="J418">
        <v>3063.98</v>
      </c>
      <c r="K418" t="s">
        <v>24</v>
      </c>
      <c r="L418" t="s">
        <v>29</v>
      </c>
    </row>
    <row r="419" spans="1:12" x14ac:dyDescent="0.3">
      <c r="A419" t="s">
        <v>646</v>
      </c>
      <c r="B419" s="2">
        <v>45805</v>
      </c>
      <c r="C419" t="s">
        <v>351</v>
      </c>
      <c r="D419" t="s">
        <v>14</v>
      </c>
      <c r="E419" t="s">
        <v>56</v>
      </c>
      <c r="F419" t="s">
        <v>16</v>
      </c>
      <c r="G419">
        <v>1</v>
      </c>
      <c r="H419">
        <v>26864.83</v>
      </c>
      <c r="I419">
        <v>0.2</v>
      </c>
      <c r="J419">
        <v>21491.86</v>
      </c>
      <c r="K419" t="s">
        <v>32</v>
      </c>
      <c r="L419" t="s">
        <v>18</v>
      </c>
    </row>
    <row r="420" spans="1:12" x14ac:dyDescent="0.3">
      <c r="A420" t="s">
        <v>647</v>
      </c>
      <c r="B420" s="2">
        <v>45940</v>
      </c>
      <c r="C420" t="s">
        <v>568</v>
      </c>
      <c r="D420" t="s">
        <v>27</v>
      </c>
      <c r="E420" t="s">
        <v>62</v>
      </c>
      <c r="F420" t="s">
        <v>23</v>
      </c>
      <c r="G420">
        <v>2</v>
      </c>
      <c r="H420">
        <v>1169.58</v>
      </c>
      <c r="I420">
        <v>0.1</v>
      </c>
      <c r="J420">
        <v>2105.2399999999998</v>
      </c>
      <c r="K420" t="s">
        <v>37</v>
      </c>
      <c r="L420" t="s">
        <v>29</v>
      </c>
    </row>
    <row r="421" spans="1:12" x14ac:dyDescent="0.3">
      <c r="A421" t="s">
        <v>648</v>
      </c>
      <c r="B421" s="2">
        <v>45722</v>
      </c>
      <c r="C421" t="s">
        <v>141</v>
      </c>
      <c r="D421" t="s">
        <v>109</v>
      </c>
      <c r="E421" t="s">
        <v>35</v>
      </c>
      <c r="F421" t="s">
        <v>36</v>
      </c>
      <c r="G421">
        <v>2</v>
      </c>
      <c r="H421">
        <v>1620.73</v>
      </c>
      <c r="I421">
        <v>0</v>
      </c>
      <c r="J421">
        <v>3241.46</v>
      </c>
      <c r="K421" t="s">
        <v>37</v>
      </c>
      <c r="L421" t="s">
        <v>18</v>
      </c>
    </row>
    <row r="422" spans="1:12" x14ac:dyDescent="0.3">
      <c r="A422" t="s">
        <v>649</v>
      </c>
      <c r="B422" s="2">
        <v>45935</v>
      </c>
      <c r="C422" t="s">
        <v>345</v>
      </c>
      <c r="D422" t="s">
        <v>109</v>
      </c>
      <c r="E422" t="s">
        <v>52</v>
      </c>
      <c r="F422" t="s">
        <v>16</v>
      </c>
      <c r="G422">
        <v>2</v>
      </c>
      <c r="H422">
        <v>7053.95</v>
      </c>
      <c r="I422">
        <v>0.15</v>
      </c>
      <c r="J422">
        <v>11991.72</v>
      </c>
      <c r="K422" t="s">
        <v>24</v>
      </c>
      <c r="L422" t="s">
        <v>29</v>
      </c>
    </row>
    <row r="423" spans="1:12" x14ac:dyDescent="0.3">
      <c r="A423" t="s">
        <v>650</v>
      </c>
      <c r="B423" s="2">
        <v>45821</v>
      </c>
      <c r="C423" t="s">
        <v>141</v>
      </c>
      <c r="D423" t="s">
        <v>27</v>
      </c>
      <c r="E423" t="s">
        <v>49</v>
      </c>
      <c r="F423" t="s">
        <v>23</v>
      </c>
      <c r="G423">
        <v>1</v>
      </c>
      <c r="H423">
        <v>6179.03</v>
      </c>
      <c r="I423">
        <v>0.05</v>
      </c>
      <c r="J423">
        <v>5870.08</v>
      </c>
      <c r="K423" t="s">
        <v>24</v>
      </c>
      <c r="L423" t="s">
        <v>18</v>
      </c>
    </row>
    <row r="424" spans="1:12" x14ac:dyDescent="0.3">
      <c r="A424" t="s">
        <v>651</v>
      </c>
      <c r="B424" s="2">
        <v>45802</v>
      </c>
      <c r="C424" t="s">
        <v>253</v>
      </c>
      <c r="D424" t="s">
        <v>109</v>
      </c>
      <c r="E424" t="s">
        <v>41</v>
      </c>
      <c r="F424" t="s">
        <v>42</v>
      </c>
      <c r="G424">
        <v>1</v>
      </c>
      <c r="H424">
        <v>1752.64</v>
      </c>
      <c r="I424">
        <v>0.1</v>
      </c>
      <c r="J424">
        <v>1577.38</v>
      </c>
      <c r="K424" t="s">
        <v>17</v>
      </c>
      <c r="L424" t="s">
        <v>18</v>
      </c>
    </row>
    <row r="425" spans="1:12" x14ac:dyDescent="0.3">
      <c r="A425" t="s">
        <v>652</v>
      </c>
      <c r="B425" s="2">
        <v>45928</v>
      </c>
      <c r="C425" t="s">
        <v>456</v>
      </c>
      <c r="D425" t="s">
        <v>45</v>
      </c>
      <c r="E425" t="s">
        <v>56</v>
      </c>
      <c r="F425" t="s">
        <v>16</v>
      </c>
      <c r="G425">
        <v>2</v>
      </c>
      <c r="H425">
        <v>27630.52</v>
      </c>
      <c r="I425">
        <v>0.15</v>
      </c>
      <c r="J425">
        <v>46971.88</v>
      </c>
      <c r="K425" t="s">
        <v>17</v>
      </c>
      <c r="L425" t="s">
        <v>29</v>
      </c>
    </row>
    <row r="426" spans="1:12" x14ac:dyDescent="0.3">
      <c r="A426" t="s">
        <v>653</v>
      </c>
      <c r="B426" s="2">
        <v>45827</v>
      </c>
      <c r="C426" t="s">
        <v>248</v>
      </c>
      <c r="D426" t="s">
        <v>21</v>
      </c>
      <c r="E426" t="s">
        <v>56</v>
      </c>
      <c r="F426" t="s">
        <v>16</v>
      </c>
      <c r="G426">
        <v>2</v>
      </c>
      <c r="H426">
        <v>28771.05</v>
      </c>
      <c r="I426">
        <v>0.1</v>
      </c>
      <c r="J426">
        <v>51787.89</v>
      </c>
      <c r="K426" t="s">
        <v>37</v>
      </c>
      <c r="L426" t="s">
        <v>18</v>
      </c>
    </row>
    <row r="427" spans="1:12" x14ac:dyDescent="0.3">
      <c r="A427" t="s">
        <v>654</v>
      </c>
      <c r="B427" s="2">
        <v>45720</v>
      </c>
      <c r="C427" t="s">
        <v>333</v>
      </c>
      <c r="D427" t="s">
        <v>45</v>
      </c>
      <c r="E427" t="s">
        <v>28</v>
      </c>
      <c r="F427" t="s">
        <v>16</v>
      </c>
      <c r="G427">
        <v>3</v>
      </c>
      <c r="H427">
        <v>2888.8</v>
      </c>
      <c r="I427">
        <v>0.1</v>
      </c>
      <c r="J427">
        <v>7799.76</v>
      </c>
      <c r="K427" t="s">
        <v>17</v>
      </c>
      <c r="L427" t="s">
        <v>18</v>
      </c>
    </row>
    <row r="428" spans="1:12" x14ac:dyDescent="0.3">
      <c r="A428" t="s">
        <v>655</v>
      </c>
      <c r="B428" s="2">
        <v>45988</v>
      </c>
      <c r="C428" t="s">
        <v>279</v>
      </c>
      <c r="D428" t="s">
        <v>109</v>
      </c>
      <c r="E428" t="s">
        <v>56</v>
      </c>
      <c r="F428" t="s">
        <v>16</v>
      </c>
      <c r="G428">
        <v>1</v>
      </c>
      <c r="H428">
        <v>28597.7</v>
      </c>
      <c r="I428">
        <v>0.1</v>
      </c>
      <c r="J428">
        <v>25737.93</v>
      </c>
      <c r="K428" t="s">
        <v>24</v>
      </c>
      <c r="L428" t="s">
        <v>38</v>
      </c>
    </row>
    <row r="429" spans="1:12" x14ac:dyDescent="0.3">
      <c r="A429" t="s">
        <v>656</v>
      </c>
      <c r="B429" s="2">
        <v>45734</v>
      </c>
      <c r="C429" t="s">
        <v>657</v>
      </c>
      <c r="D429" t="s">
        <v>14</v>
      </c>
      <c r="E429" t="s">
        <v>41</v>
      </c>
      <c r="F429" t="s">
        <v>42</v>
      </c>
      <c r="G429">
        <v>3</v>
      </c>
      <c r="H429">
        <v>1738.47</v>
      </c>
      <c r="I429">
        <v>0.15</v>
      </c>
      <c r="J429">
        <v>4433.1000000000004</v>
      </c>
      <c r="K429" t="s">
        <v>24</v>
      </c>
      <c r="L429" t="s">
        <v>18</v>
      </c>
    </row>
    <row r="430" spans="1:12" x14ac:dyDescent="0.3">
      <c r="A430" t="s">
        <v>658</v>
      </c>
      <c r="B430" s="2">
        <v>45866</v>
      </c>
      <c r="C430" t="s">
        <v>415</v>
      </c>
      <c r="D430" t="s">
        <v>45</v>
      </c>
      <c r="E430" t="s">
        <v>28</v>
      </c>
      <c r="F430" t="s">
        <v>16</v>
      </c>
      <c r="G430">
        <v>5</v>
      </c>
      <c r="H430">
        <v>3373.28</v>
      </c>
      <c r="I430">
        <v>0</v>
      </c>
      <c r="J430">
        <v>16866.400000000001</v>
      </c>
      <c r="K430" t="s">
        <v>24</v>
      </c>
      <c r="L430" t="s">
        <v>29</v>
      </c>
    </row>
    <row r="431" spans="1:12" x14ac:dyDescent="0.3">
      <c r="A431" t="s">
        <v>659</v>
      </c>
      <c r="B431" s="2">
        <v>45995</v>
      </c>
      <c r="C431" t="s">
        <v>308</v>
      </c>
      <c r="D431" t="s">
        <v>14</v>
      </c>
      <c r="E431" t="s">
        <v>15</v>
      </c>
      <c r="F431" t="s">
        <v>16</v>
      </c>
      <c r="G431">
        <v>3</v>
      </c>
      <c r="H431">
        <v>22511.26</v>
      </c>
      <c r="I431">
        <v>0.15</v>
      </c>
      <c r="J431">
        <v>57403.71</v>
      </c>
      <c r="K431" t="s">
        <v>37</v>
      </c>
      <c r="L431" t="s">
        <v>18</v>
      </c>
    </row>
    <row r="432" spans="1:12" x14ac:dyDescent="0.3">
      <c r="A432" t="s">
        <v>660</v>
      </c>
      <c r="B432" s="2">
        <v>45771</v>
      </c>
      <c r="C432" t="s">
        <v>661</v>
      </c>
      <c r="D432" t="s">
        <v>45</v>
      </c>
      <c r="E432" t="s">
        <v>22</v>
      </c>
      <c r="F432" t="s">
        <v>23</v>
      </c>
      <c r="G432">
        <v>2</v>
      </c>
      <c r="H432">
        <v>5199.41</v>
      </c>
      <c r="I432">
        <v>0.15</v>
      </c>
      <c r="J432">
        <v>8839</v>
      </c>
      <c r="K432" t="s">
        <v>17</v>
      </c>
      <c r="L432" t="s">
        <v>18</v>
      </c>
    </row>
    <row r="433" spans="1:12" x14ac:dyDescent="0.3">
      <c r="A433" t="s">
        <v>662</v>
      </c>
      <c r="B433" s="2">
        <v>45917</v>
      </c>
      <c r="C433" t="s">
        <v>198</v>
      </c>
      <c r="D433" t="s">
        <v>61</v>
      </c>
      <c r="E433" t="s">
        <v>41</v>
      </c>
      <c r="F433" t="s">
        <v>42</v>
      </c>
      <c r="G433">
        <v>1</v>
      </c>
      <c r="H433">
        <v>1447.01</v>
      </c>
      <c r="I433">
        <v>0.05</v>
      </c>
      <c r="J433">
        <v>1374.66</v>
      </c>
      <c r="K433" t="s">
        <v>37</v>
      </c>
      <c r="L433" t="s">
        <v>18</v>
      </c>
    </row>
    <row r="434" spans="1:12" x14ac:dyDescent="0.3">
      <c r="A434" t="s">
        <v>663</v>
      </c>
      <c r="B434" s="2">
        <v>45899</v>
      </c>
      <c r="C434" t="s">
        <v>664</v>
      </c>
      <c r="D434" t="s">
        <v>27</v>
      </c>
      <c r="E434" t="s">
        <v>56</v>
      </c>
      <c r="F434" t="s">
        <v>16</v>
      </c>
      <c r="G434">
        <v>1</v>
      </c>
      <c r="H434">
        <v>29192.58</v>
      </c>
      <c r="I434">
        <v>0</v>
      </c>
      <c r="J434">
        <v>29192.58</v>
      </c>
      <c r="K434" t="s">
        <v>24</v>
      </c>
      <c r="L434" t="s">
        <v>18</v>
      </c>
    </row>
    <row r="435" spans="1:12" x14ac:dyDescent="0.3">
      <c r="A435" t="s">
        <v>665</v>
      </c>
      <c r="B435" s="2">
        <v>45766</v>
      </c>
      <c r="C435" t="s">
        <v>208</v>
      </c>
      <c r="D435" t="s">
        <v>21</v>
      </c>
      <c r="E435" t="s">
        <v>28</v>
      </c>
      <c r="F435" t="s">
        <v>16</v>
      </c>
      <c r="G435">
        <v>1</v>
      </c>
      <c r="H435">
        <v>3305.1</v>
      </c>
      <c r="I435">
        <v>0</v>
      </c>
      <c r="J435">
        <v>3305.1</v>
      </c>
      <c r="K435" t="s">
        <v>17</v>
      </c>
      <c r="L435" t="s">
        <v>18</v>
      </c>
    </row>
    <row r="436" spans="1:12" x14ac:dyDescent="0.3">
      <c r="A436" t="s">
        <v>666</v>
      </c>
      <c r="B436" s="2">
        <v>45680</v>
      </c>
      <c r="C436" t="s">
        <v>483</v>
      </c>
      <c r="D436" t="s">
        <v>45</v>
      </c>
      <c r="E436" t="s">
        <v>15</v>
      </c>
      <c r="F436" t="s">
        <v>16</v>
      </c>
      <c r="G436">
        <v>1</v>
      </c>
      <c r="H436">
        <v>21063.02</v>
      </c>
      <c r="I436">
        <v>0</v>
      </c>
      <c r="J436">
        <v>21063.02</v>
      </c>
      <c r="K436" t="s">
        <v>37</v>
      </c>
      <c r="L436" t="s">
        <v>18</v>
      </c>
    </row>
    <row r="437" spans="1:12" x14ac:dyDescent="0.3">
      <c r="A437" t="s">
        <v>667</v>
      </c>
      <c r="B437" s="2">
        <v>46009</v>
      </c>
      <c r="C437" t="s">
        <v>668</v>
      </c>
      <c r="D437" t="s">
        <v>21</v>
      </c>
      <c r="E437" t="s">
        <v>41</v>
      </c>
      <c r="F437" t="s">
        <v>42</v>
      </c>
      <c r="G437">
        <v>3</v>
      </c>
      <c r="H437">
        <v>1732.41</v>
      </c>
      <c r="I437">
        <v>0</v>
      </c>
      <c r="J437">
        <v>5197.2299999999996</v>
      </c>
      <c r="K437" t="s">
        <v>24</v>
      </c>
      <c r="L437" t="s">
        <v>18</v>
      </c>
    </row>
    <row r="438" spans="1:12" x14ac:dyDescent="0.3">
      <c r="A438" t="s">
        <v>669</v>
      </c>
      <c r="B438" s="2">
        <v>45794</v>
      </c>
      <c r="C438" t="s">
        <v>168</v>
      </c>
      <c r="D438" t="s">
        <v>14</v>
      </c>
      <c r="E438" t="s">
        <v>62</v>
      </c>
      <c r="F438" t="s">
        <v>23</v>
      </c>
      <c r="G438">
        <v>4</v>
      </c>
      <c r="H438">
        <v>1104.6199999999999</v>
      </c>
      <c r="I438">
        <v>0.15</v>
      </c>
      <c r="J438">
        <v>3755.71</v>
      </c>
      <c r="K438" t="s">
        <v>37</v>
      </c>
      <c r="L438" t="s">
        <v>18</v>
      </c>
    </row>
    <row r="439" spans="1:12" x14ac:dyDescent="0.3">
      <c r="A439" t="s">
        <v>670</v>
      </c>
      <c r="B439" s="2">
        <v>45970</v>
      </c>
      <c r="C439" t="s">
        <v>559</v>
      </c>
      <c r="D439" t="s">
        <v>48</v>
      </c>
      <c r="E439" t="s">
        <v>28</v>
      </c>
      <c r="F439" t="s">
        <v>16</v>
      </c>
      <c r="G439">
        <v>3</v>
      </c>
      <c r="H439">
        <v>3416.26</v>
      </c>
      <c r="I439">
        <v>0.1</v>
      </c>
      <c r="J439">
        <v>9223.9</v>
      </c>
      <c r="K439" t="s">
        <v>37</v>
      </c>
      <c r="L439" t="s">
        <v>18</v>
      </c>
    </row>
    <row r="440" spans="1:12" x14ac:dyDescent="0.3">
      <c r="A440" t="s">
        <v>671</v>
      </c>
      <c r="B440" s="2">
        <v>45702</v>
      </c>
      <c r="C440" t="s">
        <v>220</v>
      </c>
      <c r="D440" t="s">
        <v>61</v>
      </c>
      <c r="E440" t="s">
        <v>84</v>
      </c>
      <c r="F440" t="s">
        <v>42</v>
      </c>
      <c r="G440">
        <v>1</v>
      </c>
      <c r="H440">
        <v>2648.57</v>
      </c>
      <c r="I440">
        <v>0.1</v>
      </c>
      <c r="J440">
        <v>2383.71</v>
      </c>
      <c r="K440" t="s">
        <v>32</v>
      </c>
      <c r="L440" t="s">
        <v>38</v>
      </c>
    </row>
    <row r="441" spans="1:12" x14ac:dyDescent="0.3">
      <c r="A441" t="s">
        <v>672</v>
      </c>
      <c r="B441" s="2">
        <v>45866</v>
      </c>
      <c r="C441" t="s">
        <v>673</v>
      </c>
      <c r="D441" t="s">
        <v>14</v>
      </c>
      <c r="E441" t="s">
        <v>62</v>
      </c>
      <c r="F441" t="s">
        <v>23</v>
      </c>
      <c r="G441">
        <v>3</v>
      </c>
      <c r="H441">
        <v>1209.93</v>
      </c>
      <c r="I441">
        <v>0</v>
      </c>
      <c r="J441">
        <v>3629.79</v>
      </c>
      <c r="K441" t="s">
        <v>32</v>
      </c>
      <c r="L441" t="s">
        <v>38</v>
      </c>
    </row>
    <row r="442" spans="1:12" x14ac:dyDescent="0.3">
      <c r="A442" t="s">
        <v>674</v>
      </c>
      <c r="B442" s="2">
        <v>45858</v>
      </c>
      <c r="C442" t="s">
        <v>68</v>
      </c>
      <c r="D442" t="s">
        <v>14</v>
      </c>
      <c r="E442" t="s">
        <v>28</v>
      </c>
      <c r="F442" t="s">
        <v>16</v>
      </c>
      <c r="G442">
        <v>1</v>
      </c>
      <c r="H442">
        <v>3022.31</v>
      </c>
      <c r="I442">
        <v>0</v>
      </c>
      <c r="J442">
        <v>3022.31</v>
      </c>
      <c r="K442" t="s">
        <v>24</v>
      </c>
      <c r="L442" t="s">
        <v>18</v>
      </c>
    </row>
    <row r="443" spans="1:12" x14ac:dyDescent="0.3">
      <c r="A443" t="s">
        <v>675</v>
      </c>
      <c r="B443" s="2">
        <v>45809</v>
      </c>
      <c r="C443" t="s">
        <v>218</v>
      </c>
      <c r="D443" t="s">
        <v>14</v>
      </c>
      <c r="E443" t="s">
        <v>28</v>
      </c>
      <c r="F443" t="s">
        <v>16</v>
      </c>
      <c r="G443">
        <v>1</v>
      </c>
      <c r="H443">
        <v>3359.61</v>
      </c>
      <c r="I443">
        <v>0</v>
      </c>
      <c r="J443">
        <v>3359.61</v>
      </c>
      <c r="K443" t="s">
        <v>37</v>
      </c>
      <c r="L443" t="s">
        <v>18</v>
      </c>
    </row>
    <row r="444" spans="1:12" x14ac:dyDescent="0.3">
      <c r="A444" t="s">
        <v>676</v>
      </c>
      <c r="B444" s="2">
        <v>46011</v>
      </c>
      <c r="C444" t="s">
        <v>131</v>
      </c>
      <c r="D444" t="s">
        <v>48</v>
      </c>
      <c r="E444" t="s">
        <v>84</v>
      </c>
      <c r="F444" t="s">
        <v>42</v>
      </c>
      <c r="G444">
        <v>3</v>
      </c>
      <c r="H444">
        <v>2750.64</v>
      </c>
      <c r="I444">
        <v>0.1</v>
      </c>
      <c r="J444">
        <v>7426.73</v>
      </c>
      <c r="K444" t="s">
        <v>37</v>
      </c>
      <c r="L444" t="s">
        <v>29</v>
      </c>
    </row>
    <row r="445" spans="1:12" x14ac:dyDescent="0.3">
      <c r="A445" t="s">
        <v>677</v>
      </c>
      <c r="B445" s="2">
        <v>45952</v>
      </c>
      <c r="C445" t="s">
        <v>495</v>
      </c>
      <c r="D445" t="s">
        <v>109</v>
      </c>
      <c r="E445" t="s">
        <v>62</v>
      </c>
      <c r="F445" t="s">
        <v>23</v>
      </c>
      <c r="G445">
        <v>1</v>
      </c>
      <c r="H445">
        <v>1108.1300000000001</v>
      </c>
      <c r="I445">
        <v>0.1</v>
      </c>
      <c r="J445">
        <v>997.32</v>
      </c>
      <c r="K445" t="s">
        <v>37</v>
      </c>
      <c r="L445" t="s">
        <v>18</v>
      </c>
    </row>
    <row r="446" spans="1:12" x14ac:dyDescent="0.3">
      <c r="A446" t="s">
        <v>678</v>
      </c>
      <c r="B446" s="2">
        <v>45966</v>
      </c>
      <c r="C446" t="s">
        <v>173</v>
      </c>
      <c r="D446" t="s">
        <v>27</v>
      </c>
      <c r="E446" t="s">
        <v>49</v>
      </c>
      <c r="F446" t="s">
        <v>23</v>
      </c>
      <c r="G446">
        <v>3</v>
      </c>
      <c r="H446">
        <v>6510.15</v>
      </c>
      <c r="I446">
        <v>0</v>
      </c>
      <c r="J446">
        <v>19530.45</v>
      </c>
      <c r="K446" t="s">
        <v>24</v>
      </c>
      <c r="L446" t="s">
        <v>29</v>
      </c>
    </row>
    <row r="447" spans="1:12" x14ac:dyDescent="0.3">
      <c r="A447" t="s">
        <v>679</v>
      </c>
      <c r="B447" s="2">
        <v>45939</v>
      </c>
      <c r="C447" t="s">
        <v>380</v>
      </c>
      <c r="D447" t="s">
        <v>27</v>
      </c>
      <c r="E447" t="s">
        <v>56</v>
      </c>
      <c r="F447" t="s">
        <v>16</v>
      </c>
      <c r="G447">
        <v>1</v>
      </c>
      <c r="H447">
        <v>28719.19</v>
      </c>
      <c r="I447">
        <v>0.05</v>
      </c>
      <c r="K447" t="s">
        <v>24</v>
      </c>
      <c r="L447" t="s">
        <v>29</v>
      </c>
    </row>
    <row r="448" spans="1:12" x14ac:dyDescent="0.3">
      <c r="A448" t="s">
        <v>680</v>
      </c>
      <c r="B448" s="2">
        <v>46021</v>
      </c>
      <c r="C448" t="s">
        <v>206</v>
      </c>
      <c r="D448" t="s">
        <v>48</v>
      </c>
      <c r="E448" t="s">
        <v>62</v>
      </c>
      <c r="F448" t="s">
        <v>23</v>
      </c>
      <c r="G448">
        <v>3</v>
      </c>
      <c r="H448">
        <v>1282.4000000000001</v>
      </c>
      <c r="I448">
        <v>0.15</v>
      </c>
      <c r="J448">
        <v>3270.12</v>
      </c>
      <c r="K448" t="s">
        <v>37</v>
      </c>
      <c r="L448" t="s">
        <v>18</v>
      </c>
    </row>
    <row r="449" spans="1:12" x14ac:dyDescent="0.3">
      <c r="A449" t="s">
        <v>681</v>
      </c>
      <c r="B449" s="2">
        <v>45796</v>
      </c>
      <c r="C449" t="s">
        <v>428</v>
      </c>
      <c r="D449" t="s">
        <v>48</v>
      </c>
      <c r="E449" t="s">
        <v>62</v>
      </c>
      <c r="F449" t="s">
        <v>23</v>
      </c>
      <c r="G449">
        <v>3</v>
      </c>
      <c r="H449">
        <v>1196.24</v>
      </c>
      <c r="I449">
        <v>0.05</v>
      </c>
      <c r="J449">
        <v>3409.28</v>
      </c>
      <c r="K449" t="s">
        <v>24</v>
      </c>
      <c r="L449" t="s">
        <v>29</v>
      </c>
    </row>
    <row r="450" spans="1:12" x14ac:dyDescent="0.3">
      <c r="A450" t="s">
        <v>682</v>
      </c>
      <c r="B450" s="2">
        <v>45663</v>
      </c>
      <c r="C450" t="s">
        <v>408</v>
      </c>
      <c r="D450" t="s">
        <v>61</v>
      </c>
      <c r="E450" t="s">
        <v>56</v>
      </c>
      <c r="F450" t="s">
        <v>16</v>
      </c>
      <c r="G450">
        <v>1</v>
      </c>
      <c r="H450">
        <v>25435.119999999999</v>
      </c>
      <c r="I450">
        <v>0</v>
      </c>
      <c r="J450">
        <v>25435.119999999999</v>
      </c>
      <c r="K450" t="s">
        <v>37</v>
      </c>
      <c r="L450" t="s">
        <v>29</v>
      </c>
    </row>
    <row r="451" spans="1:12" x14ac:dyDescent="0.3">
      <c r="A451" t="s">
        <v>683</v>
      </c>
      <c r="B451" s="2">
        <v>45990</v>
      </c>
      <c r="C451" t="s">
        <v>365</v>
      </c>
      <c r="D451" t="s">
        <v>48</v>
      </c>
      <c r="E451" t="s">
        <v>41</v>
      </c>
      <c r="F451" t="s">
        <v>42</v>
      </c>
      <c r="G451">
        <v>2</v>
      </c>
      <c r="H451">
        <v>1584.15</v>
      </c>
      <c r="I451">
        <v>0.2</v>
      </c>
      <c r="J451">
        <v>2534.64</v>
      </c>
      <c r="K451" t="s">
        <v>17</v>
      </c>
      <c r="L451" t="s">
        <v>18</v>
      </c>
    </row>
    <row r="452" spans="1:12" x14ac:dyDescent="0.3">
      <c r="A452" t="s">
        <v>684</v>
      </c>
      <c r="B452" s="2">
        <v>45863</v>
      </c>
      <c r="C452" t="s">
        <v>200</v>
      </c>
      <c r="D452" t="s">
        <v>14</v>
      </c>
      <c r="E452" t="s">
        <v>52</v>
      </c>
      <c r="F452" t="s">
        <v>16</v>
      </c>
      <c r="G452">
        <v>1</v>
      </c>
      <c r="H452">
        <v>6855.01</v>
      </c>
      <c r="I452">
        <v>0.05</v>
      </c>
      <c r="J452">
        <v>6512.26</v>
      </c>
      <c r="K452" t="s">
        <v>17</v>
      </c>
      <c r="L452" t="s">
        <v>18</v>
      </c>
    </row>
    <row r="453" spans="1:12" x14ac:dyDescent="0.3">
      <c r="A453" t="s">
        <v>685</v>
      </c>
      <c r="B453" s="2">
        <v>46004</v>
      </c>
      <c r="C453" t="s">
        <v>242</v>
      </c>
      <c r="D453" t="s">
        <v>14</v>
      </c>
      <c r="E453" t="s">
        <v>49</v>
      </c>
      <c r="F453" t="s">
        <v>23</v>
      </c>
      <c r="G453">
        <v>2</v>
      </c>
      <c r="H453">
        <v>6771.4</v>
      </c>
      <c r="I453">
        <v>0.1</v>
      </c>
      <c r="J453">
        <v>12188.52</v>
      </c>
      <c r="K453" t="s">
        <v>24</v>
      </c>
      <c r="L453" t="s">
        <v>29</v>
      </c>
    </row>
    <row r="454" spans="1:12" x14ac:dyDescent="0.3">
      <c r="A454" t="s">
        <v>686</v>
      </c>
      <c r="B454" s="2">
        <v>45864</v>
      </c>
      <c r="C454" t="s">
        <v>99</v>
      </c>
      <c r="D454" t="s">
        <v>27</v>
      </c>
      <c r="E454" t="s">
        <v>62</v>
      </c>
      <c r="F454" t="s">
        <v>23</v>
      </c>
      <c r="G454">
        <v>1</v>
      </c>
      <c r="H454">
        <v>1265.47</v>
      </c>
      <c r="I454">
        <v>0.1</v>
      </c>
      <c r="J454">
        <v>1138.92</v>
      </c>
      <c r="K454" t="s">
        <v>32</v>
      </c>
      <c r="L454" t="s">
        <v>29</v>
      </c>
    </row>
    <row r="455" spans="1:12" x14ac:dyDescent="0.3">
      <c r="A455" t="s">
        <v>687</v>
      </c>
      <c r="B455" s="2">
        <v>45971</v>
      </c>
      <c r="C455" t="s">
        <v>627</v>
      </c>
      <c r="E455" t="s">
        <v>35</v>
      </c>
      <c r="F455" t="s">
        <v>36</v>
      </c>
      <c r="G455">
        <v>3</v>
      </c>
      <c r="H455">
        <v>1909.08</v>
      </c>
      <c r="I455">
        <v>0.1</v>
      </c>
      <c r="J455">
        <v>5154.5200000000004</v>
      </c>
      <c r="K455" t="s">
        <v>37</v>
      </c>
      <c r="L455" t="s">
        <v>18</v>
      </c>
    </row>
    <row r="456" spans="1:12" x14ac:dyDescent="0.3">
      <c r="A456" t="s">
        <v>688</v>
      </c>
      <c r="B456" s="2">
        <v>45872</v>
      </c>
      <c r="C456" t="s">
        <v>90</v>
      </c>
      <c r="D456" t="s">
        <v>45</v>
      </c>
      <c r="E456" t="s">
        <v>84</v>
      </c>
      <c r="F456" t="s">
        <v>42</v>
      </c>
      <c r="G456">
        <v>1</v>
      </c>
      <c r="H456">
        <v>2714.3</v>
      </c>
      <c r="I456">
        <v>0.1</v>
      </c>
      <c r="J456">
        <v>2442.87</v>
      </c>
      <c r="K456" t="s">
        <v>32</v>
      </c>
      <c r="L456" t="s">
        <v>29</v>
      </c>
    </row>
    <row r="457" spans="1:12" x14ac:dyDescent="0.3">
      <c r="A457" t="s">
        <v>689</v>
      </c>
      <c r="B457" s="2">
        <v>45926</v>
      </c>
      <c r="C457" t="s">
        <v>520</v>
      </c>
      <c r="D457" t="s">
        <v>48</v>
      </c>
      <c r="E457" t="s">
        <v>22</v>
      </c>
      <c r="F457" t="s">
        <v>23</v>
      </c>
      <c r="G457">
        <v>2</v>
      </c>
      <c r="H457">
        <v>4999.18</v>
      </c>
      <c r="I457">
        <v>0.1</v>
      </c>
      <c r="J457">
        <v>8998.52</v>
      </c>
      <c r="K457" t="s">
        <v>32</v>
      </c>
      <c r="L457" t="s">
        <v>18</v>
      </c>
    </row>
    <row r="458" spans="1:12" x14ac:dyDescent="0.3">
      <c r="A458" t="s">
        <v>690</v>
      </c>
      <c r="B458" s="2">
        <v>45861</v>
      </c>
      <c r="C458" t="s">
        <v>691</v>
      </c>
      <c r="D458" t="s">
        <v>21</v>
      </c>
      <c r="E458" t="s">
        <v>15</v>
      </c>
      <c r="F458" t="s">
        <v>16</v>
      </c>
      <c r="G458">
        <v>1</v>
      </c>
      <c r="H458">
        <v>20684.37</v>
      </c>
      <c r="I458">
        <v>0</v>
      </c>
      <c r="J458">
        <v>20684.37</v>
      </c>
      <c r="K458" t="s">
        <v>17</v>
      </c>
      <c r="L458" t="s">
        <v>18</v>
      </c>
    </row>
    <row r="459" spans="1:12" x14ac:dyDescent="0.3">
      <c r="A459" t="s">
        <v>692</v>
      </c>
      <c r="B459" s="2">
        <v>45803</v>
      </c>
      <c r="C459" t="s">
        <v>71</v>
      </c>
      <c r="D459" t="s">
        <v>27</v>
      </c>
      <c r="E459" t="s">
        <v>56</v>
      </c>
      <c r="F459" t="s">
        <v>16</v>
      </c>
      <c r="G459">
        <v>2</v>
      </c>
      <c r="H459">
        <v>29802.25</v>
      </c>
      <c r="I459">
        <v>0.05</v>
      </c>
      <c r="J459">
        <v>56624.27</v>
      </c>
      <c r="K459" t="s">
        <v>32</v>
      </c>
      <c r="L459" t="s">
        <v>18</v>
      </c>
    </row>
    <row r="460" spans="1:12" x14ac:dyDescent="0.3">
      <c r="A460" t="s">
        <v>693</v>
      </c>
      <c r="B460" s="2">
        <v>45830</v>
      </c>
      <c r="C460" t="s">
        <v>694</v>
      </c>
      <c r="D460" t="s">
        <v>45</v>
      </c>
      <c r="E460" t="s">
        <v>62</v>
      </c>
      <c r="F460" t="s">
        <v>23</v>
      </c>
      <c r="G460">
        <v>2</v>
      </c>
      <c r="H460">
        <v>1134.01</v>
      </c>
      <c r="I460">
        <v>0.1</v>
      </c>
      <c r="J460">
        <v>2041.22</v>
      </c>
      <c r="K460" t="s">
        <v>24</v>
      </c>
      <c r="L460" t="s">
        <v>18</v>
      </c>
    </row>
    <row r="461" spans="1:12" x14ac:dyDescent="0.3">
      <c r="A461" t="s">
        <v>695</v>
      </c>
      <c r="B461" s="2">
        <v>45864</v>
      </c>
      <c r="C461" t="s">
        <v>456</v>
      </c>
      <c r="E461" t="s">
        <v>35</v>
      </c>
      <c r="F461" t="s">
        <v>36</v>
      </c>
      <c r="G461">
        <v>3</v>
      </c>
      <c r="H461">
        <v>1899.64</v>
      </c>
      <c r="I461">
        <v>0</v>
      </c>
      <c r="J461">
        <v>5698.92</v>
      </c>
      <c r="K461" t="s">
        <v>17</v>
      </c>
      <c r="L461" t="s">
        <v>18</v>
      </c>
    </row>
    <row r="462" spans="1:12" x14ac:dyDescent="0.3">
      <c r="A462" t="s">
        <v>696</v>
      </c>
      <c r="B462" s="2">
        <v>45914</v>
      </c>
      <c r="C462" t="s">
        <v>216</v>
      </c>
      <c r="D462" t="s">
        <v>61</v>
      </c>
      <c r="E462" t="s">
        <v>56</v>
      </c>
      <c r="F462" t="s">
        <v>16</v>
      </c>
      <c r="G462">
        <v>2</v>
      </c>
      <c r="H462">
        <v>27621.14</v>
      </c>
      <c r="I462">
        <v>0.05</v>
      </c>
      <c r="J462">
        <v>52480.17</v>
      </c>
      <c r="K462" t="s">
        <v>24</v>
      </c>
      <c r="L462" t="s">
        <v>18</v>
      </c>
    </row>
    <row r="463" spans="1:12" x14ac:dyDescent="0.3">
      <c r="A463" t="s">
        <v>697</v>
      </c>
      <c r="B463" s="2">
        <v>45835</v>
      </c>
      <c r="C463" t="s">
        <v>698</v>
      </c>
      <c r="D463" t="s">
        <v>48</v>
      </c>
      <c r="E463" t="s">
        <v>22</v>
      </c>
      <c r="F463" t="s">
        <v>23</v>
      </c>
      <c r="G463">
        <v>1</v>
      </c>
      <c r="H463">
        <v>4720.54</v>
      </c>
      <c r="I463">
        <v>0.05</v>
      </c>
      <c r="J463">
        <v>4484.51</v>
      </c>
      <c r="K463" t="s">
        <v>37</v>
      </c>
      <c r="L463" t="s">
        <v>38</v>
      </c>
    </row>
    <row r="464" spans="1:12" x14ac:dyDescent="0.3">
      <c r="A464" t="s">
        <v>699</v>
      </c>
      <c r="B464" s="2">
        <v>45887</v>
      </c>
      <c r="C464" t="s">
        <v>390</v>
      </c>
      <c r="D464" t="s">
        <v>109</v>
      </c>
      <c r="E464" t="s">
        <v>22</v>
      </c>
      <c r="F464" t="s">
        <v>23</v>
      </c>
      <c r="G464">
        <v>1</v>
      </c>
      <c r="H464">
        <v>5716</v>
      </c>
      <c r="I464">
        <v>0.15</v>
      </c>
      <c r="J464">
        <v>4858.6000000000004</v>
      </c>
      <c r="K464" t="s">
        <v>32</v>
      </c>
      <c r="L464" t="s">
        <v>18</v>
      </c>
    </row>
    <row r="465" spans="1:12" x14ac:dyDescent="0.3">
      <c r="A465" t="s">
        <v>700</v>
      </c>
      <c r="B465" s="2">
        <v>45956</v>
      </c>
      <c r="C465" t="s">
        <v>120</v>
      </c>
      <c r="D465" t="s">
        <v>61</v>
      </c>
      <c r="E465" t="s">
        <v>35</v>
      </c>
      <c r="F465" t="s">
        <v>36</v>
      </c>
      <c r="G465">
        <v>1</v>
      </c>
      <c r="H465">
        <v>1979.6</v>
      </c>
      <c r="I465">
        <v>0</v>
      </c>
      <c r="J465">
        <v>1979.6</v>
      </c>
      <c r="K465" t="s">
        <v>17</v>
      </c>
      <c r="L465" t="s">
        <v>38</v>
      </c>
    </row>
    <row r="466" spans="1:12" x14ac:dyDescent="0.3">
      <c r="A466" t="s">
        <v>701</v>
      </c>
      <c r="B466" s="2">
        <v>45910</v>
      </c>
      <c r="C466" t="s">
        <v>137</v>
      </c>
      <c r="D466" t="s">
        <v>27</v>
      </c>
      <c r="F466" t="s">
        <v>23</v>
      </c>
      <c r="G466">
        <v>5</v>
      </c>
      <c r="H466">
        <v>4721.96</v>
      </c>
      <c r="I466">
        <v>0</v>
      </c>
      <c r="J466">
        <v>23609.8</v>
      </c>
      <c r="K466" t="s">
        <v>17</v>
      </c>
      <c r="L466" t="s">
        <v>18</v>
      </c>
    </row>
    <row r="467" spans="1:12" x14ac:dyDescent="0.3">
      <c r="A467" t="s">
        <v>702</v>
      </c>
      <c r="B467" s="2">
        <v>45961</v>
      </c>
      <c r="C467" t="s">
        <v>164</v>
      </c>
      <c r="D467" t="s">
        <v>48</v>
      </c>
      <c r="E467" t="s">
        <v>15</v>
      </c>
      <c r="F467" t="s">
        <v>16</v>
      </c>
      <c r="G467">
        <v>3</v>
      </c>
      <c r="H467">
        <v>20213.669999999998</v>
      </c>
      <c r="I467">
        <v>0.05</v>
      </c>
      <c r="J467">
        <v>57608.959999999999</v>
      </c>
      <c r="K467" t="s">
        <v>24</v>
      </c>
      <c r="L467" t="s">
        <v>18</v>
      </c>
    </row>
    <row r="468" spans="1:12" x14ac:dyDescent="0.3">
      <c r="A468" t="s">
        <v>703</v>
      </c>
      <c r="B468" s="2">
        <v>45913</v>
      </c>
      <c r="C468" t="s">
        <v>704</v>
      </c>
      <c r="D468" t="s">
        <v>14</v>
      </c>
      <c r="E468" t="s">
        <v>22</v>
      </c>
      <c r="F468" t="s">
        <v>23</v>
      </c>
      <c r="G468">
        <v>2</v>
      </c>
      <c r="H468">
        <v>4817.95</v>
      </c>
      <c r="I468">
        <v>0</v>
      </c>
      <c r="J468">
        <v>9635.9</v>
      </c>
      <c r="K468" t="s">
        <v>17</v>
      </c>
      <c r="L468" t="s">
        <v>29</v>
      </c>
    </row>
    <row r="469" spans="1:12" x14ac:dyDescent="0.3">
      <c r="A469" t="s">
        <v>705</v>
      </c>
      <c r="B469" s="2">
        <v>45676</v>
      </c>
      <c r="C469" t="s">
        <v>604</v>
      </c>
      <c r="D469" t="s">
        <v>109</v>
      </c>
      <c r="E469" t="s">
        <v>22</v>
      </c>
      <c r="F469" t="s">
        <v>23</v>
      </c>
      <c r="G469">
        <v>2</v>
      </c>
      <c r="H469">
        <v>5710.31</v>
      </c>
      <c r="I469">
        <v>0.05</v>
      </c>
      <c r="J469">
        <v>10849.59</v>
      </c>
      <c r="K469" t="s">
        <v>24</v>
      </c>
      <c r="L469" t="s">
        <v>18</v>
      </c>
    </row>
    <row r="470" spans="1:12" x14ac:dyDescent="0.3">
      <c r="A470" t="s">
        <v>706</v>
      </c>
      <c r="B470" s="2">
        <v>45840</v>
      </c>
      <c r="C470" t="s">
        <v>68</v>
      </c>
      <c r="D470" t="s">
        <v>45</v>
      </c>
      <c r="E470" t="s">
        <v>35</v>
      </c>
      <c r="F470" t="s">
        <v>36</v>
      </c>
      <c r="G470">
        <v>2</v>
      </c>
      <c r="H470">
        <v>1756.49</v>
      </c>
      <c r="I470">
        <v>0.15</v>
      </c>
      <c r="J470">
        <v>2986.03</v>
      </c>
      <c r="K470" t="s">
        <v>17</v>
      </c>
      <c r="L470" t="s">
        <v>18</v>
      </c>
    </row>
    <row r="471" spans="1:12" x14ac:dyDescent="0.3">
      <c r="A471" t="s">
        <v>707</v>
      </c>
      <c r="B471" s="2">
        <v>45823</v>
      </c>
      <c r="C471" t="s">
        <v>483</v>
      </c>
      <c r="D471" t="s">
        <v>48</v>
      </c>
      <c r="E471" t="s">
        <v>52</v>
      </c>
      <c r="F471" t="s">
        <v>16</v>
      </c>
      <c r="G471">
        <v>5</v>
      </c>
      <c r="H471">
        <v>7956.62</v>
      </c>
      <c r="I471">
        <v>0.1</v>
      </c>
      <c r="J471">
        <v>35804.79</v>
      </c>
      <c r="K471" t="s">
        <v>17</v>
      </c>
      <c r="L471" t="s">
        <v>38</v>
      </c>
    </row>
    <row r="472" spans="1:12" x14ac:dyDescent="0.3">
      <c r="A472" t="s">
        <v>708</v>
      </c>
      <c r="B472" s="2">
        <v>45732</v>
      </c>
      <c r="C472" t="s">
        <v>386</v>
      </c>
      <c r="D472" t="s">
        <v>21</v>
      </c>
      <c r="E472" t="s">
        <v>41</v>
      </c>
      <c r="F472" t="s">
        <v>42</v>
      </c>
      <c r="G472">
        <v>1</v>
      </c>
      <c r="H472">
        <v>1475.22</v>
      </c>
      <c r="I472">
        <v>0.15</v>
      </c>
      <c r="J472">
        <v>1253.94</v>
      </c>
      <c r="K472" t="s">
        <v>37</v>
      </c>
      <c r="L472" t="s">
        <v>18</v>
      </c>
    </row>
    <row r="473" spans="1:12" x14ac:dyDescent="0.3">
      <c r="A473" t="s">
        <v>709</v>
      </c>
      <c r="B473" s="2">
        <v>45978</v>
      </c>
      <c r="C473" t="s">
        <v>200</v>
      </c>
      <c r="D473" t="s">
        <v>61</v>
      </c>
      <c r="E473" t="s">
        <v>35</v>
      </c>
      <c r="F473" t="s">
        <v>36</v>
      </c>
      <c r="G473">
        <v>5</v>
      </c>
      <c r="H473">
        <v>1819.69</v>
      </c>
      <c r="I473">
        <v>0</v>
      </c>
      <c r="J473">
        <v>9098.4500000000007</v>
      </c>
      <c r="K473" t="s">
        <v>32</v>
      </c>
      <c r="L473" t="s">
        <v>18</v>
      </c>
    </row>
    <row r="474" spans="1:12" x14ac:dyDescent="0.3">
      <c r="A474" t="s">
        <v>710</v>
      </c>
      <c r="B474" s="2">
        <v>45799</v>
      </c>
      <c r="C474" t="s">
        <v>248</v>
      </c>
      <c r="D474" t="s">
        <v>21</v>
      </c>
      <c r="E474" t="s">
        <v>28</v>
      </c>
      <c r="F474" t="s">
        <v>16</v>
      </c>
      <c r="G474">
        <v>1</v>
      </c>
      <c r="H474">
        <v>3169.86</v>
      </c>
      <c r="I474">
        <v>0.05</v>
      </c>
      <c r="J474">
        <v>3011.37</v>
      </c>
      <c r="K474" t="s">
        <v>24</v>
      </c>
      <c r="L474" t="s">
        <v>29</v>
      </c>
    </row>
    <row r="475" spans="1:12" x14ac:dyDescent="0.3">
      <c r="A475" t="s">
        <v>711</v>
      </c>
      <c r="B475" s="2">
        <v>45879</v>
      </c>
      <c r="C475" t="s">
        <v>413</v>
      </c>
      <c r="D475" t="s">
        <v>14</v>
      </c>
      <c r="E475" t="s">
        <v>35</v>
      </c>
      <c r="F475" t="s">
        <v>36</v>
      </c>
      <c r="G475">
        <v>2</v>
      </c>
      <c r="H475">
        <v>1909.01</v>
      </c>
      <c r="I475">
        <v>0.15</v>
      </c>
      <c r="J475">
        <v>3245.32</v>
      </c>
      <c r="K475" t="s">
        <v>32</v>
      </c>
      <c r="L475" t="s">
        <v>18</v>
      </c>
    </row>
    <row r="476" spans="1:12" x14ac:dyDescent="0.3">
      <c r="A476" t="s">
        <v>712</v>
      </c>
      <c r="B476" s="2">
        <v>45949</v>
      </c>
      <c r="C476" t="s">
        <v>470</v>
      </c>
      <c r="D476" t="s">
        <v>109</v>
      </c>
      <c r="E476" t="s">
        <v>49</v>
      </c>
      <c r="F476" t="s">
        <v>23</v>
      </c>
      <c r="G476">
        <v>1</v>
      </c>
      <c r="H476">
        <v>6210.12</v>
      </c>
      <c r="I476">
        <v>0.05</v>
      </c>
      <c r="J476">
        <v>5899.61</v>
      </c>
      <c r="K476" t="s">
        <v>17</v>
      </c>
      <c r="L476" t="s">
        <v>29</v>
      </c>
    </row>
    <row r="477" spans="1:12" x14ac:dyDescent="0.3">
      <c r="A477" t="s">
        <v>713</v>
      </c>
      <c r="B477" s="2">
        <v>45866</v>
      </c>
      <c r="C477" t="s">
        <v>495</v>
      </c>
      <c r="D477" t="s">
        <v>21</v>
      </c>
      <c r="E477" t="s">
        <v>15</v>
      </c>
      <c r="F477" t="s">
        <v>16</v>
      </c>
      <c r="G477">
        <v>1</v>
      </c>
      <c r="H477">
        <v>20678.009999999998</v>
      </c>
      <c r="I477">
        <v>0</v>
      </c>
      <c r="J477">
        <v>20678.009999999998</v>
      </c>
      <c r="K477" t="s">
        <v>32</v>
      </c>
      <c r="L477" t="s">
        <v>18</v>
      </c>
    </row>
    <row r="478" spans="1:12" x14ac:dyDescent="0.3">
      <c r="A478" t="s">
        <v>714</v>
      </c>
      <c r="B478" s="2">
        <v>45812</v>
      </c>
      <c r="C478" t="s">
        <v>428</v>
      </c>
      <c r="D478" t="s">
        <v>61</v>
      </c>
      <c r="E478" t="s">
        <v>84</v>
      </c>
      <c r="F478" t="s">
        <v>42</v>
      </c>
      <c r="G478">
        <v>2</v>
      </c>
      <c r="H478">
        <v>3066.66</v>
      </c>
      <c r="I478">
        <v>0.05</v>
      </c>
      <c r="J478">
        <v>5826.65</v>
      </c>
      <c r="K478" t="s">
        <v>32</v>
      </c>
      <c r="L478" t="s">
        <v>38</v>
      </c>
    </row>
    <row r="479" spans="1:12" x14ac:dyDescent="0.3">
      <c r="A479" t="s">
        <v>715</v>
      </c>
      <c r="B479" s="2">
        <v>45880</v>
      </c>
      <c r="C479" t="s">
        <v>339</v>
      </c>
      <c r="D479" t="s">
        <v>27</v>
      </c>
      <c r="E479" t="s">
        <v>56</v>
      </c>
      <c r="F479" t="s">
        <v>16</v>
      </c>
      <c r="G479">
        <v>1</v>
      </c>
      <c r="H479">
        <v>29070.79</v>
      </c>
      <c r="I479">
        <v>0</v>
      </c>
      <c r="J479">
        <v>29070.79</v>
      </c>
      <c r="K479" t="s">
        <v>32</v>
      </c>
      <c r="L479" t="s">
        <v>38</v>
      </c>
    </row>
    <row r="480" spans="1:12" x14ac:dyDescent="0.3">
      <c r="A480" t="s">
        <v>716</v>
      </c>
      <c r="B480" s="2">
        <v>45925</v>
      </c>
      <c r="C480" t="s">
        <v>644</v>
      </c>
      <c r="D480" t="s">
        <v>27</v>
      </c>
      <c r="E480" t="s">
        <v>41</v>
      </c>
      <c r="F480" t="s">
        <v>42</v>
      </c>
      <c r="G480">
        <v>1</v>
      </c>
      <c r="H480">
        <v>1579.33</v>
      </c>
      <c r="I480">
        <v>0</v>
      </c>
      <c r="J480">
        <v>1579.33</v>
      </c>
      <c r="K480" t="s">
        <v>32</v>
      </c>
      <c r="L480" t="s">
        <v>38</v>
      </c>
    </row>
    <row r="481" spans="1:12" x14ac:dyDescent="0.3">
      <c r="A481" t="s">
        <v>717</v>
      </c>
      <c r="B481" s="2">
        <v>45715</v>
      </c>
      <c r="C481" t="s">
        <v>125</v>
      </c>
      <c r="D481" t="s">
        <v>14</v>
      </c>
      <c r="E481" t="s">
        <v>15</v>
      </c>
      <c r="F481" t="s">
        <v>16</v>
      </c>
      <c r="G481">
        <v>2</v>
      </c>
      <c r="H481">
        <v>20648.12</v>
      </c>
      <c r="I481">
        <v>0.1</v>
      </c>
      <c r="J481">
        <v>37166.620000000003</v>
      </c>
      <c r="K481" t="s">
        <v>32</v>
      </c>
      <c r="L481" t="s">
        <v>18</v>
      </c>
    </row>
    <row r="482" spans="1:12" x14ac:dyDescent="0.3">
      <c r="A482" t="s">
        <v>718</v>
      </c>
      <c r="B482" s="2">
        <v>45950</v>
      </c>
      <c r="C482" t="s">
        <v>673</v>
      </c>
      <c r="D482" t="s">
        <v>27</v>
      </c>
      <c r="E482" t="s">
        <v>52</v>
      </c>
      <c r="F482" t="s">
        <v>16</v>
      </c>
      <c r="G482">
        <v>1</v>
      </c>
      <c r="H482">
        <v>7544.82</v>
      </c>
      <c r="I482">
        <v>0.05</v>
      </c>
      <c r="J482">
        <v>7167.58</v>
      </c>
      <c r="K482" t="s">
        <v>32</v>
      </c>
      <c r="L482" t="s">
        <v>18</v>
      </c>
    </row>
    <row r="483" spans="1:12" x14ac:dyDescent="0.3">
      <c r="A483" t="s">
        <v>719</v>
      </c>
      <c r="B483" s="2">
        <v>45750</v>
      </c>
      <c r="C483" t="s">
        <v>610</v>
      </c>
      <c r="D483" t="s">
        <v>21</v>
      </c>
      <c r="E483" t="s">
        <v>56</v>
      </c>
      <c r="F483" t="s">
        <v>16</v>
      </c>
      <c r="G483">
        <v>1</v>
      </c>
      <c r="H483">
        <v>28731.25</v>
      </c>
      <c r="I483">
        <v>0</v>
      </c>
      <c r="J483">
        <v>28731.25</v>
      </c>
      <c r="K483" t="s">
        <v>24</v>
      </c>
      <c r="L483" t="s">
        <v>18</v>
      </c>
    </row>
    <row r="484" spans="1:12" x14ac:dyDescent="0.3">
      <c r="A484" t="s">
        <v>720</v>
      </c>
      <c r="B484" s="2">
        <v>45743</v>
      </c>
      <c r="C484" t="s">
        <v>423</v>
      </c>
      <c r="D484" t="s">
        <v>61</v>
      </c>
      <c r="E484" t="s">
        <v>15</v>
      </c>
      <c r="F484" t="s">
        <v>16</v>
      </c>
      <c r="G484">
        <v>2</v>
      </c>
      <c r="H484">
        <v>19784.13</v>
      </c>
      <c r="I484">
        <v>0</v>
      </c>
      <c r="J484">
        <v>39568.26</v>
      </c>
      <c r="K484" t="s">
        <v>24</v>
      </c>
      <c r="L484" t="s">
        <v>18</v>
      </c>
    </row>
    <row r="485" spans="1:12" x14ac:dyDescent="0.3">
      <c r="A485" t="s">
        <v>721</v>
      </c>
      <c r="B485" s="2">
        <v>45668</v>
      </c>
      <c r="C485" t="s">
        <v>152</v>
      </c>
      <c r="D485" t="s">
        <v>48</v>
      </c>
      <c r="E485" t="s">
        <v>22</v>
      </c>
      <c r="F485" t="s">
        <v>23</v>
      </c>
      <c r="G485">
        <v>1</v>
      </c>
      <c r="H485">
        <v>5183.92</v>
      </c>
      <c r="I485">
        <v>0</v>
      </c>
      <c r="J485">
        <v>5183.92</v>
      </c>
      <c r="K485" t="s">
        <v>32</v>
      </c>
      <c r="L485" t="s">
        <v>18</v>
      </c>
    </row>
    <row r="486" spans="1:12" x14ac:dyDescent="0.3">
      <c r="A486" t="s">
        <v>722</v>
      </c>
      <c r="B486" s="2">
        <v>45769</v>
      </c>
      <c r="C486" t="s">
        <v>108</v>
      </c>
      <c r="D486" t="s">
        <v>48</v>
      </c>
      <c r="E486" t="s">
        <v>49</v>
      </c>
      <c r="F486" t="s">
        <v>23</v>
      </c>
      <c r="G486">
        <v>3</v>
      </c>
      <c r="H486">
        <v>6255.2</v>
      </c>
      <c r="I486">
        <v>0</v>
      </c>
      <c r="J486">
        <v>18765.599999999999</v>
      </c>
      <c r="K486" t="s">
        <v>17</v>
      </c>
      <c r="L486" t="s">
        <v>18</v>
      </c>
    </row>
    <row r="487" spans="1:12" x14ac:dyDescent="0.3">
      <c r="A487" t="s">
        <v>723</v>
      </c>
      <c r="B487" s="2">
        <v>45841</v>
      </c>
      <c r="C487" t="s">
        <v>259</v>
      </c>
      <c r="D487" t="s">
        <v>48</v>
      </c>
      <c r="E487" t="s">
        <v>49</v>
      </c>
      <c r="F487" t="s">
        <v>23</v>
      </c>
      <c r="G487">
        <v>1</v>
      </c>
      <c r="H487">
        <v>5924.07</v>
      </c>
      <c r="I487">
        <v>0.15</v>
      </c>
      <c r="J487">
        <v>5035.46</v>
      </c>
      <c r="K487" t="s">
        <v>37</v>
      </c>
      <c r="L487" t="s">
        <v>18</v>
      </c>
    </row>
    <row r="488" spans="1:12" x14ac:dyDescent="0.3">
      <c r="A488" t="s">
        <v>724</v>
      </c>
      <c r="B488" s="2">
        <v>45976</v>
      </c>
      <c r="C488" t="s">
        <v>395</v>
      </c>
      <c r="D488" t="s">
        <v>45</v>
      </c>
      <c r="E488" t="s">
        <v>62</v>
      </c>
      <c r="F488" t="s">
        <v>23</v>
      </c>
      <c r="G488">
        <v>5</v>
      </c>
      <c r="H488">
        <v>1127.82</v>
      </c>
      <c r="I488">
        <v>0.1</v>
      </c>
      <c r="J488">
        <v>5075.1899999999996</v>
      </c>
      <c r="K488" t="s">
        <v>37</v>
      </c>
      <c r="L488" t="s">
        <v>29</v>
      </c>
    </row>
    <row r="489" spans="1:12" x14ac:dyDescent="0.3">
      <c r="A489" t="s">
        <v>725</v>
      </c>
      <c r="B489" s="2">
        <v>45858</v>
      </c>
      <c r="C489" t="s">
        <v>102</v>
      </c>
      <c r="D489" t="s">
        <v>21</v>
      </c>
      <c r="E489" t="s">
        <v>52</v>
      </c>
      <c r="F489" t="s">
        <v>16</v>
      </c>
      <c r="G489">
        <v>1</v>
      </c>
      <c r="H489">
        <v>7456.3</v>
      </c>
      <c r="I489">
        <v>0.05</v>
      </c>
      <c r="J489">
        <v>7083.48</v>
      </c>
      <c r="K489" t="s">
        <v>32</v>
      </c>
      <c r="L489" t="s">
        <v>29</v>
      </c>
    </row>
    <row r="490" spans="1:12" x14ac:dyDescent="0.3">
      <c r="A490" t="s">
        <v>726</v>
      </c>
      <c r="B490" s="2">
        <v>45952</v>
      </c>
      <c r="C490" t="s">
        <v>318</v>
      </c>
      <c r="D490" t="s">
        <v>14</v>
      </c>
      <c r="E490" t="s">
        <v>35</v>
      </c>
      <c r="F490" t="s">
        <v>36</v>
      </c>
      <c r="G490">
        <v>1</v>
      </c>
      <c r="H490">
        <v>1664.36</v>
      </c>
      <c r="I490">
        <v>0.1</v>
      </c>
      <c r="J490">
        <v>1497.92</v>
      </c>
      <c r="K490" t="s">
        <v>37</v>
      </c>
      <c r="L490" t="s">
        <v>18</v>
      </c>
    </row>
    <row r="491" spans="1:12" x14ac:dyDescent="0.3">
      <c r="A491" t="s">
        <v>727</v>
      </c>
      <c r="B491" s="2">
        <v>45734</v>
      </c>
      <c r="C491" t="s">
        <v>564</v>
      </c>
      <c r="D491" t="s">
        <v>109</v>
      </c>
      <c r="E491" t="s">
        <v>22</v>
      </c>
      <c r="F491" t="s">
        <v>23</v>
      </c>
      <c r="G491">
        <v>3</v>
      </c>
      <c r="H491">
        <v>5210.55</v>
      </c>
      <c r="I491">
        <v>0.1</v>
      </c>
      <c r="J491">
        <v>14068.49</v>
      </c>
      <c r="K491" t="s">
        <v>24</v>
      </c>
      <c r="L491" t="s">
        <v>29</v>
      </c>
    </row>
    <row r="492" spans="1:12" x14ac:dyDescent="0.3">
      <c r="A492" t="s">
        <v>728</v>
      </c>
      <c r="B492" s="2">
        <v>45848</v>
      </c>
      <c r="C492" t="s">
        <v>413</v>
      </c>
      <c r="D492" t="s">
        <v>21</v>
      </c>
      <c r="E492" t="s">
        <v>28</v>
      </c>
      <c r="F492" t="s">
        <v>16</v>
      </c>
      <c r="G492">
        <v>2</v>
      </c>
      <c r="H492">
        <v>3303.47</v>
      </c>
      <c r="I492">
        <v>0.05</v>
      </c>
      <c r="J492">
        <v>6276.59</v>
      </c>
      <c r="K492" t="s">
        <v>37</v>
      </c>
      <c r="L492" t="s">
        <v>18</v>
      </c>
    </row>
    <row r="493" spans="1:12" x14ac:dyDescent="0.3">
      <c r="A493" t="s">
        <v>729</v>
      </c>
      <c r="B493" s="2">
        <v>45857</v>
      </c>
      <c r="C493" t="s">
        <v>218</v>
      </c>
      <c r="D493" t="s">
        <v>48</v>
      </c>
      <c r="E493" t="s">
        <v>28</v>
      </c>
      <c r="F493" t="s">
        <v>16</v>
      </c>
      <c r="G493">
        <v>1</v>
      </c>
      <c r="H493">
        <v>3062.85</v>
      </c>
      <c r="I493">
        <v>0.15</v>
      </c>
      <c r="J493">
        <v>2603.42</v>
      </c>
      <c r="K493" t="s">
        <v>37</v>
      </c>
      <c r="L493" t="s">
        <v>29</v>
      </c>
    </row>
    <row r="494" spans="1:12" x14ac:dyDescent="0.3">
      <c r="A494" t="s">
        <v>730</v>
      </c>
      <c r="B494" s="2">
        <v>45972</v>
      </c>
      <c r="C494" t="s">
        <v>403</v>
      </c>
      <c r="D494" t="s">
        <v>45</v>
      </c>
      <c r="E494" t="s">
        <v>28</v>
      </c>
      <c r="F494" t="s">
        <v>16</v>
      </c>
      <c r="G494">
        <v>4</v>
      </c>
      <c r="H494">
        <v>3095.99</v>
      </c>
      <c r="I494">
        <v>0.15</v>
      </c>
      <c r="J494">
        <v>10526.37</v>
      </c>
      <c r="K494" t="s">
        <v>17</v>
      </c>
      <c r="L494" t="s">
        <v>18</v>
      </c>
    </row>
    <row r="495" spans="1:12" x14ac:dyDescent="0.3">
      <c r="A495" t="s">
        <v>731</v>
      </c>
      <c r="B495" s="2">
        <v>45741</v>
      </c>
      <c r="C495" t="s">
        <v>559</v>
      </c>
      <c r="D495" t="s">
        <v>48</v>
      </c>
      <c r="E495" t="s">
        <v>52</v>
      </c>
      <c r="F495" t="s">
        <v>16</v>
      </c>
      <c r="G495">
        <v>1</v>
      </c>
      <c r="H495">
        <v>7530.11</v>
      </c>
      <c r="I495">
        <v>0</v>
      </c>
      <c r="J495">
        <v>7530.11</v>
      </c>
      <c r="K495" t="s">
        <v>32</v>
      </c>
      <c r="L495" t="s">
        <v>18</v>
      </c>
    </row>
    <row r="496" spans="1:12" x14ac:dyDescent="0.3">
      <c r="A496" t="s">
        <v>732</v>
      </c>
      <c r="B496" s="2">
        <v>45930</v>
      </c>
      <c r="C496" t="s">
        <v>388</v>
      </c>
      <c r="D496" t="s">
        <v>109</v>
      </c>
      <c r="E496" t="s">
        <v>22</v>
      </c>
      <c r="F496" t="s">
        <v>23</v>
      </c>
      <c r="G496">
        <v>3</v>
      </c>
      <c r="H496">
        <v>5460.28</v>
      </c>
      <c r="I496">
        <v>0.1</v>
      </c>
      <c r="J496">
        <v>14742.76</v>
      </c>
      <c r="K496" t="s">
        <v>32</v>
      </c>
      <c r="L496" t="s">
        <v>38</v>
      </c>
    </row>
    <row r="497" spans="1:12" x14ac:dyDescent="0.3">
      <c r="A497" t="s">
        <v>733</v>
      </c>
      <c r="B497" s="2">
        <v>45844</v>
      </c>
      <c r="C497" t="s">
        <v>137</v>
      </c>
      <c r="D497" t="s">
        <v>61</v>
      </c>
      <c r="E497" t="s">
        <v>56</v>
      </c>
      <c r="F497" t="s">
        <v>16</v>
      </c>
      <c r="G497">
        <v>1</v>
      </c>
      <c r="H497">
        <v>26533.62</v>
      </c>
      <c r="I497">
        <v>0</v>
      </c>
      <c r="J497">
        <v>26533.62</v>
      </c>
      <c r="K497" t="s">
        <v>37</v>
      </c>
      <c r="L497" t="s">
        <v>18</v>
      </c>
    </row>
    <row r="498" spans="1:12" x14ac:dyDescent="0.3">
      <c r="A498" t="s">
        <v>734</v>
      </c>
      <c r="B498" s="2">
        <v>45943</v>
      </c>
      <c r="C498" t="s">
        <v>246</v>
      </c>
      <c r="D498" t="s">
        <v>45</v>
      </c>
      <c r="E498" t="s">
        <v>41</v>
      </c>
      <c r="F498" t="s">
        <v>42</v>
      </c>
      <c r="G498">
        <v>1</v>
      </c>
      <c r="H498">
        <v>1577.6</v>
      </c>
      <c r="I498">
        <v>0.05</v>
      </c>
      <c r="J498">
        <v>1498.72</v>
      </c>
      <c r="K498" t="s">
        <v>32</v>
      </c>
      <c r="L498" t="s">
        <v>18</v>
      </c>
    </row>
    <row r="499" spans="1:12" x14ac:dyDescent="0.3">
      <c r="A499" t="s">
        <v>735</v>
      </c>
      <c r="B499" s="2">
        <v>45769</v>
      </c>
      <c r="C499" t="s">
        <v>116</v>
      </c>
      <c r="D499" t="s">
        <v>27</v>
      </c>
      <c r="E499" t="s">
        <v>84</v>
      </c>
      <c r="F499" t="s">
        <v>42</v>
      </c>
      <c r="G499">
        <v>1</v>
      </c>
      <c r="H499">
        <v>2947.22</v>
      </c>
      <c r="I499">
        <v>0.1</v>
      </c>
      <c r="J499">
        <v>2652.5</v>
      </c>
      <c r="K499" t="s">
        <v>32</v>
      </c>
      <c r="L499" t="s">
        <v>18</v>
      </c>
    </row>
    <row r="500" spans="1:12" x14ac:dyDescent="0.3">
      <c r="A500" t="s">
        <v>736</v>
      </c>
      <c r="B500" s="2">
        <v>45837</v>
      </c>
      <c r="C500" t="s">
        <v>242</v>
      </c>
      <c r="D500" t="s">
        <v>27</v>
      </c>
      <c r="E500" t="s">
        <v>84</v>
      </c>
      <c r="F500" t="s">
        <v>42</v>
      </c>
      <c r="G500">
        <v>1</v>
      </c>
      <c r="H500">
        <v>2589.1</v>
      </c>
      <c r="I500">
        <v>0.1</v>
      </c>
      <c r="J500">
        <v>2330.19</v>
      </c>
      <c r="K500" t="s">
        <v>37</v>
      </c>
      <c r="L500" t="s">
        <v>18</v>
      </c>
    </row>
    <row r="501" spans="1:12" x14ac:dyDescent="0.3">
      <c r="A501" t="s">
        <v>737</v>
      </c>
      <c r="B501" s="2">
        <v>45922</v>
      </c>
      <c r="C501" t="s">
        <v>738</v>
      </c>
      <c r="D501" t="s">
        <v>61</v>
      </c>
      <c r="E501" t="s">
        <v>41</v>
      </c>
      <c r="F501" t="s">
        <v>42</v>
      </c>
      <c r="G501">
        <v>1</v>
      </c>
      <c r="H501">
        <v>1583.69</v>
      </c>
      <c r="I501">
        <v>0</v>
      </c>
      <c r="J501">
        <v>1583.69</v>
      </c>
      <c r="K501" t="s">
        <v>32</v>
      </c>
      <c r="L501" t="s">
        <v>29</v>
      </c>
    </row>
    <row r="502" spans="1:12" x14ac:dyDescent="0.3">
      <c r="A502" t="s">
        <v>739</v>
      </c>
      <c r="B502" s="2">
        <v>45978</v>
      </c>
      <c r="C502" t="s">
        <v>661</v>
      </c>
      <c r="D502" t="s">
        <v>109</v>
      </c>
      <c r="E502" t="s">
        <v>56</v>
      </c>
      <c r="F502" t="s">
        <v>16</v>
      </c>
      <c r="G502">
        <v>2</v>
      </c>
      <c r="H502">
        <v>26171.58</v>
      </c>
      <c r="I502">
        <v>0</v>
      </c>
      <c r="J502">
        <v>52343.16</v>
      </c>
      <c r="K502" t="s">
        <v>24</v>
      </c>
      <c r="L502" t="s">
        <v>18</v>
      </c>
    </row>
    <row r="503" spans="1:12" x14ac:dyDescent="0.3">
      <c r="A503" t="s">
        <v>740</v>
      </c>
      <c r="B503" s="2">
        <v>45870</v>
      </c>
      <c r="C503" t="s">
        <v>175</v>
      </c>
      <c r="D503" t="s">
        <v>61</v>
      </c>
      <c r="E503" t="s">
        <v>62</v>
      </c>
      <c r="F503" t="s">
        <v>23</v>
      </c>
      <c r="G503">
        <v>2</v>
      </c>
      <c r="H503">
        <v>1213.55</v>
      </c>
      <c r="I503">
        <v>0</v>
      </c>
      <c r="J503">
        <v>2427.1</v>
      </c>
      <c r="K503" t="s">
        <v>32</v>
      </c>
      <c r="L503" t="s">
        <v>18</v>
      </c>
    </row>
    <row r="504" spans="1:12" x14ac:dyDescent="0.3">
      <c r="A504" t="s">
        <v>741</v>
      </c>
      <c r="B504" s="2">
        <v>45890</v>
      </c>
      <c r="C504" t="s">
        <v>644</v>
      </c>
      <c r="D504" t="s">
        <v>14</v>
      </c>
      <c r="E504" t="s">
        <v>56</v>
      </c>
      <c r="F504" t="s">
        <v>16</v>
      </c>
      <c r="G504">
        <v>1</v>
      </c>
      <c r="H504">
        <v>28138.52</v>
      </c>
      <c r="I504">
        <v>0.15</v>
      </c>
      <c r="J504">
        <v>23917.74</v>
      </c>
      <c r="K504" t="s">
        <v>17</v>
      </c>
      <c r="L504" t="s">
        <v>18</v>
      </c>
    </row>
    <row r="505" spans="1:12" x14ac:dyDescent="0.3">
      <c r="A505" t="s">
        <v>742</v>
      </c>
      <c r="B505" s="2">
        <v>45813</v>
      </c>
      <c r="C505" t="s">
        <v>262</v>
      </c>
      <c r="D505" t="s">
        <v>48</v>
      </c>
      <c r="E505" t="s">
        <v>56</v>
      </c>
      <c r="F505" t="s">
        <v>16</v>
      </c>
      <c r="G505">
        <v>4</v>
      </c>
      <c r="H505">
        <v>30425.95</v>
      </c>
      <c r="I505">
        <v>0.1</v>
      </c>
      <c r="J505">
        <v>109533.42</v>
      </c>
      <c r="K505" t="s">
        <v>17</v>
      </c>
      <c r="L505" t="s">
        <v>18</v>
      </c>
    </row>
    <row r="506" spans="1:12" x14ac:dyDescent="0.3">
      <c r="A506" t="s">
        <v>743</v>
      </c>
      <c r="B506" s="2">
        <v>45871</v>
      </c>
      <c r="C506" t="s">
        <v>60</v>
      </c>
      <c r="D506" t="s">
        <v>27</v>
      </c>
      <c r="E506" t="s">
        <v>15</v>
      </c>
      <c r="F506" t="s">
        <v>16</v>
      </c>
      <c r="G506">
        <v>2</v>
      </c>
      <c r="H506">
        <v>21026.59</v>
      </c>
      <c r="I506">
        <v>0.05</v>
      </c>
      <c r="J506">
        <v>39950.519999999997</v>
      </c>
      <c r="K506" t="s">
        <v>17</v>
      </c>
      <c r="L506" t="s">
        <v>18</v>
      </c>
    </row>
    <row r="507" spans="1:12" x14ac:dyDescent="0.3">
      <c r="A507" t="s">
        <v>744</v>
      </c>
      <c r="B507" s="2">
        <v>45845</v>
      </c>
      <c r="C507" t="s">
        <v>141</v>
      </c>
      <c r="D507" t="s">
        <v>109</v>
      </c>
      <c r="E507" t="s">
        <v>49</v>
      </c>
      <c r="F507" t="s">
        <v>23</v>
      </c>
      <c r="G507">
        <v>2</v>
      </c>
      <c r="H507">
        <v>6300.95</v>
      </c>
      <c r="I507">
        <v>0.05</v>
      </c>
      <c r="J507">
        <v>11971.8</v>
      </c>
      <c r="K507" t="s">
        <v>32</v>
      </c>
      <c r="L507" t="s">
        <v>18</v>
      </c>
    </row>
    <row r="508" spans="1:12" x14ac:dyDescent="0.3">
      <c r="A508" t="s">
        <v>745</v>
      </c>
      <c r="B508" s="2">
        <v>45953</v>
      </c>
      <c r="C508" t="s">
        <v>349</v>
      </c>
      <c r="D508" t="s">
        <v>61</v>
      </c>
      <c r="E508" t="s">
        <v>56</v>
      </c>
      <c r="F508" t="s">
        <v>16</v>
      </c>
      <c r="G508">
        <v>1</v>
      </c>
      <c r="H508">
        <v>27122.97</v>
      </c>
      <c r="I508">
        <v>0</v>
      </c>
      <c r="J508">
        <v>27122.97</v>
      </c>
      <c r="K508" t="s">
        <v>32</v>
      </c>
      <c r="L508" t="s">
        <v>18</v>
      </c>
    </row>
    <row r="509" spans="1:12" x14ac:dyDescent="0.3">
      <c r="A509" t="s">
        <v>746</v>
      </c>
      <c r="B509" s="2">
        <v>45841</v>
      </c>
      <c r="C509" t="s">
        <v>747</v>
      </c>
      <c r="D509" t="s">
        <v>61</v>
      </c>
      <c r="E509" t="s">
        <v>15</v>
      </c>
      <c r="F509" t="s">
        <v>16</v>
      </c>
      <c r="G509">
        <v>4</v>
      </c>
      <c r="H509">
        <v>19287.91</v>
      </c>
      <c r="I509">
        <v>0</v>
      </c>
      <c r="J509">
        <v>77151.64</v>
      </c>
      <c r="K509" t="s">
        <v>32</v>
      </c>
      <c r="L509" t="s">
        <v>18</v>
      </c>
    </row>
    <row r="510" spans="1:12" x14ac:dyDescent="0.3">
      <c r="A510" t="s">
        <v>748</v>
      </c>
      <c r="B510" s="2">
        <v>45775</v>
      </c>
      <c r="C510" t="s">
        <v>415</v>
      </c>
      <c r="D510" t="s">
        <v>109</v>
      </c>
      <c r="E510" t="s">
        <v>49</v>
      </c>
      <c r="F510" t="s">
        <v>23</v>
      </c>
      <c r="G510">
        <v>4</v>
      </c>
      <c r="H510">
        <v>5856.53</v>
      </c>
      <c r="I510">
        <v>0</v>
      </c>
      <c r="J510">
        <v>23426.12</v>
      </c>
      <c r="K510" t="s">
        <v>32</v>
      </c>
      <c r="L510" t="s">
        <v>29</v>
      </c>
    </row>
    <row r="511" spans="1:12" x14ac:dyDescent="0.3">
      <c r="A511" t="s">
        <v>749</v>
      </c>
      <c r="B511" s="2">
        <v>45770</v>
      </c>
      <c r="C511" t="s">
        <v>750</v>
      </c>
      <c r="D511" t="s">
        <v>14</v>
      </c>
      <c r="E511" t="s">
        <v>35</v>
      </c>
      <c r="F511" t="s">
        <v>36</v>
      </c>
      <c r="G511">
        <v>3</v>
      </c>
      <c r="H511">
        <v>1892.54</v>
      </c>
      <c r="I511">
        <v>0.1</v>
      </c>
      <c r="J511">
        <v>5109.8599999999997</v>
      </c>
      <c r="K511" t="s">
        <v>32</v>
      </c>
      <c r="L511" t="s">
        <v>38</v>
      </c>
    </row>
    <row r="512" spans="1:12" x14ac:dyDescent="0.3">
      <c r="A512" t="s">
        <v>751</v>
      </c>
      <c r="B512" s="2">
        <v>45797</v>
      </c>
      <c r="C512" t="s">
        <v>284</v>
      </c>
      <c r="D512" t="s">
        <v>21</v>
      </c>
      <c r="E512" t="s">
        <v>28</v>
      </c>
      <c r="F512" t="s">
        <v>16</v>
      </c>
      <c r="G512">
        <v>2</v>
      </c>
      <c r="H512">
        <v>3108.33</v>
      </c>
      <c r="I512">
        <v>0.15</v>
      </c>
      <c r="J512">
        <v>5284.16</v>
      </c>
      <c r="K512" t="s">
        <v>17</v>
      </c>
      <c r="L512" t="s">
        <v>18</v>
      </c>
    </row>
    <row r="513" spans="1:12" x14ac:dyDescent="0.3">
      <c r="A513" t="s">
        <v>752</v>
      </c>
      <c r="B513" s="2">
        <v>45806</v>
      </c>
      <c r="C513" t="s">
        <v>272</v>
      </c>
      <c r="D513" t="s">
        <v>21</v>
      </c>
      <c r="E513" t="s">
        <v>56</v>
      </c>
      <c r="F513" t="s">
        <v>16</v>
      </c>
      <c r="G513">
        <v>1</v>
      </c>
      <c r="H513">
        <v>30465.24</v>
      </c>
      <c r="I513">
        <v>0.1</v>
      </c>
      <c r="J513">
        <v>27418.720000000001</v>
      </c>
      <c r="K513" t="s">
        <v>37</v>
      </c>
      <c r="L513" t="s">
        <v>38</v>
      </c>
    </row>
    <row r="514" spans="1:12" x14ac:dyDescent="0.3">
      <c r="A514" t="s">
        <v>753</v>
      </c>
      <c r="B514" s="2">
        <v>45907</v>
      </c>
      <c r="C514" t="s">
        <v>333</v>
      </c>
      <c r="D514" t="s">
        <v>21</v>
      </c>
      <c r="E514" t="s">
        <v>28</v>
      </c>
      <c r="F514" t="s">
        <v>16</v>
      </c>
      <c r="G514">
        <v>1</v>
      </c>
      <c r="H514">
        <v>3316.58</v>
      </c>
      <c r="I514">
        <v>0</v>
      </c>
      <c r="J514">
        <v>3316.58</v>
      </c>
      <c r="K514" t="s">
        <v>17</v>
      </c>
      <c r="L514" t="s">
        <v>18</v>
      </c>
    </row>
    <row r="515" spans="1:12" x14ac:dyDescent="0.3">
      <c r="A515" t="s">
        <v>754</v>
      </c>
      <c r="B515" s="2">
        <v>45769</v>
      </c>
      <c r="C515" t="s">
        <v>351</v>
      </c>
      <c r="D515" t="s">
        <v>61</v>
      </c>
      <c r="E515" t="s">
        <v>28</v>
      </c>
      <c r="F515" t="s">
        <v>16</v>
      </c>
      <c r="G515">
        <v>1</v>
      </c>
      <c r="H515">
        <v>3457.54</v>
      </c>
      <c r="I515">
        <v>0.05</v>
      </c>
      <c r="J515">
        <v>3284.66</v>
      </c>
      <c r="K515" t="s">
        <v>17</v>
      </c>
      <c r="L515" t="s">
        <v>29</v>
      </c>
    </row>
    <row r="516" spans="1:12" x14ac:dyDescent="0.3">
      <c r="A516" t="s">
        <v>755</v>
      </c>
      <c r="B516" s="2">
        <v>45697</v>
      </c>
      <c r="C516" t="s">
        <v>691</v>
      </c>
      <c r="D516" t="s">
        <v>27</v>
      </c>
      <c r="E516" t="s">
        <v>52</v>
      </c>
      <c r="F516" t="s">
        <v>16</v>
      </c>
      <c r="G516">
        <v>3</v>
      </c>
      <c r="H516">
        <v>7735.55</v>
      </c>
      <c r="I516">
        <v>0.05</v>
      </c>
      <c r="J516">
        <v>22046.32</v>
      </c>
      <c r="K516" t="s">
        <v>32</v>
      </c>
      <c r="L516" t="s">
        <v>18</v>
      </c>
    </row>
    <row r="517" spans="1:12" x14ac:dyDescent="0.3">
      <c r="A517" t="s">
        <v>756</v>
      </c>
      <c r="B517" s="2">
        <v>45968</v>
      </c>
      <c r="C517" t="s">
        <v>256</v>
      </c>
      <c r="D517" t="s">
        <v>14</v>
      </c>
      <c r="E517" t="s">
        <v>41</v>
      </c>
      <c r="F517" t="s">
        <v>42</v>
      </c>
      <c r="G517">
        <v>3</v>
      </c>
      <c r="H517">
        <v>1624.59</v>
      </c>
      <c r="I517">
        <v>0</v>
      </c>
      <c r="J517">
        <v>4873.7700000000004</v>
      </c>
      <c r="K517" t="s">
        <v>37</v>
      </c>
      <c r="L517" t="s">
        <v>29</v>
      </c>
    </row>
    <row r="518" spans="1:12" x14ac:dyDescent="0.3">
      <c r="A518" t="s">
        <v>757</v>
      </c>
      <c r="B518" s="2">
        <v>45964</v>
      </c>
      <c r="C518" t="s">
        <v>177</v>
      </c>
      <c r="D518" t="s">
        <v>14</v>
      </c>
      <c r="E518" t="s">
        <v>28</v>
      </c>
      <c r="F518" t="s">
        <v>16</v>
      </c>
      <c r="G518">
        <v>3</v>
      </c>
      <c r="H518">
        <v>3327.81</v>
      </c>
      <c r="I518">
        <v>0.1</v>
      </c>
      <c r="J518">
        <v>8985.09</v>
      </c>
      <c r="K518" t="s">
        <v>32</v>
      </c>
      <c r="L518" t="s">
        <v>18</v>
      </c>
    </row>
    <row r="519" spans="1:12" x14ac:dyDescent="0.3">
      <c r="A519" t="s">
        <v>758</v>
      </c>
      <c r="B519" s="2">
        <v>45877</v>
      </c>
      <c r="C519" t="s">
        <v>13</v>
      </c>
      <c r="D519" t="s">
        <v>48</v>
      </c>
      <c r="E519" t="s">
        <v>22</v>
      </c>
      <c r="F519" t="s">
        <v>23</v>
      </c>
      <c r="G519">
        <v>3</v>
      </c>
      <c r="H519">
        <v>5263.71</v>
      </c>
      <c r="I519">
        <v>0.1</v>
      </c>
      <c r="J519">
        <v>14212.02</v>
      </c>
      <c r="K519" t="s">
        <v>37</v>
      </c>
      <c r="L519" t="s">
        <v>18</v>
      </c>
    </row>
    <row r="520" spans="1:12" x14ac:dyDescent="0.3">
      <c r="A520" t="s">
        <v>759</v>
      </c>
      <c r="B520" s="2">
        <v>46002</v>
      </c>
      <c r="C520" t="s">
        <v>747</v>
      </c>
      <c r="D520" t="s">
        <v>27</v>
      </c>
      <c r="E520" t="s">
        <v>41</v>
      </c>
      <c r="F520" t="s">
        <v>42</v>
      </c>
      <c r="G520">
        <v>1</v>
      </c>
      <c r="H520">
        <v>1477.02</v>
      </c>
      <c r="I520">
        <v>0</v>
      </c>
      <c r="J520">
        <v>1477.02</v>
      </c>
      <c r="K520" t="s">
        <v>17</v>
      </c>
      <c r="L520" t="s">
        <v>18</v>
      </c>
    </row>
    <row r="521" spans="1:12" x14ac:dyDescent="0.3">
      <c r="A521" t="s">
        <v>760</v>
      </c>
      <c r="B521" s="2">
        <v>45992</v>
      </c>
      <c r="C521" t="s">
        <v>627</v>
      </c>
      <c r="D521" t="s">
        <v>48</v>
      </c>
      <c r="E521" t="s">
        <v>52</v>
      </c>
      <c r="F521" t="s">
        <v>16</v>
      </c>
      <c r="G521">
        <v>2</v>
      </c>
      <c r="H521">
        <v>7783.14</v>
      </c>
      <c r="I521">
        <v>0</v>
      </c>
      <c r="J521">
        <v>15566.28</v>
      </c>
      <c r="K521" t="s">
        <v>24</v>
      </c>
      <c r="L521" t="s">
        <v>38</v>
      </c>
    </row>
    <row r="522" spans="1:12" x14ac:dyDescent="0.3">
      <c r="A522" t="s">
        <v>761</v>
      </c>
      <c r="B522" s="2">
        <v>45798</v>
      </c>
      <c r="C522" t="s">
        <v>220</v>
      </c>
      <c r="D522" t="s">
        <v>48</v>
      </c>
      <c r="E522" t="s">
        <v>41</v>
      </c>
      <c r="F522" t="s">
        <v>42</v>
      </c>
      <c r="G522">
        <v>1</v>
      </c>
      <c r="H522">
        <v>1618.34</v>
      </c>
      <c r="I522">
        <v>0</v>
      </c>
      <c r="J522">
        <v>1618.34</v>
      </c>
      <c r="K522" t="s">
        <v>37</v>
      </c>
      <c r="L522" t="s">
        <v>18</v>
      </c>
    </row>
    <row r="523" spans="1:12" x14ac:dyDescent="0.3">
      <c r="A523" t="s">
        <v>762</v>
      </c>
      <c r="B523" s="2">
        <v>45800</v>
      </c>
      <c r="C523" t="s">
        <v>44</v>
      </c>
      <c r="D523" t="s">
        <v>45</v>
      </c>
      <c r="E523" t="s">
        <v>22</v>
      </c>
      <c r="F523" t="s">
        <v>23</v>
      </c>
      <c r="G523">
        <v>2</v>
      </c>
      <c r="H523">
        <v>4825.18</v>
      </c>
      <c r="I523">
        <v>0</v>
      </c>
      <c r="J523">
        <v>9650.36</v>
      </c>
      <c r="K523" t="s">
        <v>17</v>
      </c>
      <c r="L523" t="s">
        <v>29</v>
      </c>
    </row>
    <row r="524" spans="1:12" x14ac:dyDescent="0.3">
      <c r="A524" t="s">
        <v>763</v>
      </c>
      <c r="B524" s="2">
        <v>45715</v>
      </c>
      <c r="C524" t="s">
        <v>212</v>
      </c>
      <c r="D524" t="s">
        <v>61</v>
      </c>
      <c r="E524" t="s">
        <v>15</v>
      </c>
      <c r="F524" t="s">
        <v>16</v>
      </c>
      <c r="G524">
        <v>1</v>
      </c>
      <c r="H524">
        <v>21752.639999999999</v>
      </c>
      <c r="I524">
        <v>0</v>
      </c>
      <c r="J524">
        <v>21752.639999999999</v>
      </c>
      <c r="K524" t="s">
        <v>37</v>
      </c>
      <c r="L524" t="s">
        <v>29</v>
      </c>
    </row>
    <row r="525" spans="1:12" x14ac:dyDescent="0.3">
      <c r="A525" t="s">
        <v>764</v>
      </c>
      <c r="B525" s="2">
        <v>45899</v>
      </c>
      <c r="C525" t="s">
        <v>390</v>
      </c>
      <c r="E525" t="s">
        <v>52</v>
      </c>
      <c r="F525" t="s">
        <v>16</v>
      </c>
      <c r="G525">
        <v>1</v>
      </c>
      <c r="H525">
        <v>7731.24</v>
      </c>
      <c r="I525">
        <v>0</v>
      </c>
      <c r="J525">
        <v>7731.24</v>
      </c>
      <c r="K525" t="s">
        <v>37</v>
      </c>
      <c r="L525" t="s">
        <v>38</v>
      </c>
    </row>
    <row r="526" spans="1:12" x14ac:dyDescent="0.3">
      <c r="A526" t="s">
        <v>765</v>
      </c>
      <c r="B526" s="2">
        <v>45720</v>
      </c>
      <c r="C526" t="s">
        <v>766</v>
      </c>
      <c r="D526" t="s">
        <v>27</v>
      </c>
      <c r="E526" t="s">
        <v>41</v>
      </c>
      <c r="F526" t="s">
        <v>42</v>
      </c>
      <c r="G526">
        <v>1</v>
      </c>
      <c r="H526">
        <v>1603.94</v>
      </c>
      <c r="I526">
        <v>0</v>
      </c>
      <c r="J526">
        <v>1603.94</v>
      </c>
      <c r="K526" t="s">
        <v>17</v>
      </c>
      <c r="L526" t="s">
        <v>18</v>
      </c>
    </row>
    <row r="527" spans="1:12" x14ac:dyDescent="0.3">
      <c r="A527" t="s">
        <v>767</v>
      </c>
      <c r="B527" s="2">
        <v>45974</v>
      </c>
      <c r="C527" t="s">
        <v>300</v>
      </c>
      <c r="D527" t="s">
        <v>27</v>
      </c>
      <c r="E527" t="s">
        <v>62</v>
      </c>
      <c r="F527" t="s">
        <v>23</v>
      </c>
      <c r="G527">
        <v>1</v>
      </c>
      <c r="H527">
        <v>1275.52</v>
      </c>
      <c r="I527">
        <v>0.15</v>
      </c>
      <c r="J527">
        <v>1084.19</v>
      </c>
      <c r="K527" t="s">
        <v>17</v>
      </c>
      <c r="L527" t="s">
        <v>18</v>
      </c>
    </row>
    <row r="528" spans="1:12" x14ac:dyDescent="0.3">
      <c r="A528" t="s">
        <v>768</v>
      </c>
      <c r="B528" s="2">
        <v>45896</v>
      </c>
      <c r="C528" t="s">
        <v>769</v>
      </c>
      <c r="D528" t="s">
        <v>14</v>
      </c>
      <c r="E528" t="s">
        <v>56</v>
      </c>
      <c r="F528" t="s">
        <v>16</v>
      </c>
      <c r="G528">
        <v>1</v>
      </c>
      <c r="H528">
        <v>28984.61</v>
      </c>
      <c r="I528">
        <v>0.05</v>
      </c>
      <c r="J528">
        <v>27535.38</v>
      </c>
      <c r="K528" t="s">
        <v>32</v>
      </c>
      <c r="L528" t="s">
        <v>38</v>
      </c>
    </row>
    <row r="529" spans="1:12" x14ac:dyDescent="0.3">
      <c r="A529" t="s">
        <v>770</v>
      </c>
      <c r="B529" s="2">
        <v>45944</v>
      </c>
      <c r="C529" t="s">
        <v>192</v>
      </c>
      <c r="D529" t="s">
        <v>48</v>
      </c>
      <c r="E529" t="s">
        <v>56</v>
      </c>
      <c r="F529" t="s">
        <v>16</v>
      </c>
      <c r="G529">
        <v>1</v>
      </c>
      <c r="H529">
        <v>30124.25</v>
      </c>
      <c r="I529">
        <v>0</v>
      </c>
      <c r="J529">
        <v>30124.25</v>
      </c>
      <c r="K529" t="s">
        <v>32</v>
      </c>
      <c r="L529" t="s">
        <v>18</v>
      </c>
    </row>
    <row r="530" spans="1:12" x14ac:dyDescent="0.3">
      <c r="A530" t="s">
        <v>771</v>
      </c>
      <c r="B530" s="2">
        <v>46021</v>
      </c>
      <c r="C530" t="s">
        <v>281</v>
      </c>
      <c r="D530" t="s">
        <v>61</v>
      </c>
      <c r="E530" t="s">
        <v>84</v>
      </c>
      <c r="F530" t="s">
        <v>42</v>
      </c>
      <c r="G530">
        <v>4</v>
      </c>
      <c r="H530">
        <v>3016.26</v>
      </c>
      <c r="I530">
        <v>0</v>
      </c>
      <c r="J530">
        <v>12065.04</v>
      </c>
      <c r="K530" t="s">
        <v>24</v>
      </c>
      <c r="L530" t="s">
        <v>18</v>
      </c>
    </row>
    <row r="531" spans="1:12" x14ac:dyDescent="0.3">
      <c r="A531" t="s">
        <v>772</v>
      </c>
      <c r="B531" s="2">
        <v>45878</v>
      </c>
      <c r="C531" t="s">
        <v>395</v>
      </c>
      <c r="D531" t="s">
        <v>21</v>
      </c>
      <c r="E531" t="s">
        <v>15</v>
      </c>
      <c r="F531" t="s">
        <v>16</v>
      </c>
      <c r="G531">
        <v>1</v>
      </c>
      <c r="H531">
        <v>19080.82</v>
      </c>
      <c r="I531">
        <v>0</v>
      </c>
      <c r="J531">
        <v>19080.82</v>
      </c>
      <c r="K531" t="s">
        <v>24</v>
      </c>
      <c r="L531" t="s">
        <v>38</v>
      </c>
    </row>
    <row r="532" spans="1:12" x14ac:dyDescent="0.3">
      <c r="A532" t="s">
        <v>773</v>
      </c>
      <c r="B532" s="2">
        <v>45765</v>
      </c>
      <c r="C532" t="s">
        <v>423</v>
      </c>
      <c r="D532" t="s">
        <v>45</v>
      </c>
      <c r="E532" t="s">
        <v>28</v>
      </c>
      <c r="F532" t="s">
        <v>16</v>
      </c>
      <c r="G532">
        <v>3</v>
      </c>
      <c r="H532">
        <v>3420.59</v>
      </c>
      <c r="I532">
        <v>0.05</v>
      </c>
      <c r="J532">
        <v>9748.68</v>
      </c>
      <c r="K532" t="s">
        <v>17</v>
      </c>
      <c r="L532" t="s">
        <v>18</v>
      </c>
    </row>
    <row r="533" spans="1:12" x14ac:dyDescent="0.3">
      <c r="A533" t="s">
        <v>774</v>
      </c>
      <c r="B533" s="2">
        <v>45859</v>
      </c>
      <c r="C533" t="s">
        <v>405</v>
      </c>
      <c r="D533" t="s">
        <v>48</v>
      </c>
      <c r="E533" t="s">
        <v>49</v>
      </c>
      <c r="F533" t="s">
        <v>23</v>
      </c>
      <c r="G533">
        <v>1</v>
      </c>
      <c r="H533">
        <v>6206.7</v>
      </c>
      <c r="I533">
        <v>0.05</v>
      </c>
      <c r="J533">
        <v>5896.36</v>
      </c>
      <c r="K533" t="s">
        <v>32</v>
      </c>
      <c r="L533" t="s">
        <v>38</v>
      </c>
    </row>
    <row r="534" spans="1:12" x14ac:dyDescent="0.3">
      <c r="A534" t="s">
        <v>775</v>
      </c>
      <c r="B534" s="2">
        <v>45994</v>
      </c>
      <c r="C534" t="s">
        <v>55</v>
      </c>
      <c r="D534" t="s">
        <v>14</v>
      </c>
      <c r="E534" t="s">
        <v>62</v>
      </c>
      <c r="F534" t="s">
        <v>23</v>
      </c>
      <c r="G534">
        <v>3</v>
      </c>
      <c r="H534">
        <v>1247.21</v>
      </c>
      <c r="I534">
        <v>0.1</v>
      </c>
      <c r="J534">
        <v>3367.47</v>
      </c>
      <c r="K534" t="s">
        <v>37</v>
      </c>
      <c r="L534" t="s">
        <v>38</v>
      </c>
    </row>
    <row r="535" spans="1:12" x14ac:dyDescent="0.3">
      <c r="A535" t="s">
        <v>776</v>
      </c>
      <c r="B535" s="2">
        <v>45904</v>
      </c>
      <c r="C535" t="s">
        <v>520</v>
      </c>
      <c r="D535" t="s">
        <v>45</v>
      </c>
      <c r="E535" t="s">
        <v>41</v>
      </c>
      <c r="F535" t="s">
        <v>42</v>
      </c>
      <c r="G535">
        <v>1</v>
      </c>
      <c r="H535">
        <v>1562.32</v>
      </c>
      <c r="I535">
        <v>0</v>
      </c>
      <c r="J535">
        <v>1562.32</v>
      </c>
      <c r="K535" t="s">
        <v>17</v>
      </c>
      <c r="L535" t="s">
        <v>29</v>
      </c>
    </row>
    <row r="536" spans="1:12" x14ac:dyDescent="0.3">
      <c r="A536" t="s">
        <v>777</v>
      </c>
      <c r="B536" s="2">
        <v>45908</v>
      </c>
      <c r="C536" t="s">
        <v>415</v>
      </c>
      <c r="D536" t="s">
        <v>61</v>
      </c>
      <c r="E536" t="s">
        <v>52</v>
      </c>
      <c r="F536" t="s">
        <v>16</v>
      </c>
      <c r="G536">
        <v>1</v>
      </c>
      <c r="H536">
        <v>7396.48</v>
      </c>
      <c r="I536">
        <v>0.05</v>
      </c>
      <c r="J536">
        <v>7026.66</v>
      </c>
      <c r="K536" t="s">
        <v>24</v>
      </c>
      <c r="L536" t="s">
        <v>29</v>
      </c>
    </row>
    <row r="537" spans="1:12" x14ac:dyDescent="0.3">
      <c r="A537" t="s">
        <v>778</v>
      </c>
      <c r="B537" s="2">
        <v>45894</v>
      </c>
      <c r="C537" t="s">
        <v>632</v>
      </c>
      <c r="D537" t="s">
        <v>61</v>
      </c>
      <c r="E537" t="s">
        <v>28</v>
      </c>
      <c r="F537" t="s">
        <v>16</v>
      </c>
      <c r="G537">
        <v>1</v>
      </c>
      <c r="H537">
        <v>3147</v>
      </c>
      <c r="I537">
        <v>0.05</v>
      </c>
      <c r="J537">
        <v>2989.65</v>
      </c>
      <c r="K537" t="s">
        <v>37</v>
      </c>
      <c r="L537" t="s">
        <v>29</v>
      </c>
    </row>
    <row r="538" spans="1:12" x14ac:dyDescent="0.3">
      <c r="A538" t="s">
        <v>779</v>
      </c>
      <c r="B538" s="2">
        <v>45682</v>
      </c>
      <c r="C538" t="s">
        <v>251</v>
      </c>
      <c r="D538" t="s">
        <v>14</v>
      </c>
      <c r="E538" t="s">
        <v>84</v>
      </c>
      <c r="F538" t="s">
        <v>42</v>
      </c>
      <c r="G538">
        <v>2</v>
      </c>
      <c r="H538">
        <v>2970.78</v>
      </c>
      <c r="I538">
        <v>0</v>
      </c>
      <c r="J538">
        <v>5941.56</v>
      </c>
      <c r="K538" t="s">
        <v>32</v>
      </c>
      <c r="L538" t="s">
        <v>18</v>
      </c>
    </row>
    <row r="539" spans="1:12" x14ac:dyDescent="0.3">
      <c r="A539" t="s">
        <v>780</v>
      </c>
      <c r="B539" s="2">
        <v>45866</v>
      </c>
      <c r="C539" t="s">
        <v>194</v>
      </c>
      <c r="D539" t="s">
        <v>48</v>
      </c>
      <c r="E539" t="s">
        <v>56</v>
      </c>
      <c r="F539" t="s">
        <v>16</v>
      </c>
      <c r="G539">
        <v>1</v>
      </c>
      <c r="H539">
        <v>30510.21</v>
      </c>
      <c r="I539">
        <v>0.15</v>
      </c>
      <c r="J539">
        <v>25933.68</v>
      </c>
      <c r="K539" t="s">
        <v>32</v>
      </c>
      <c r="L539" t="s">
        <v>18</v>
      </c>
    </row>
    <row r="540" spans="1:12" x14ac:dyDescent="0.3">
      <c r="A540" t="s">
        <v>781</v>
      </c>
      <c r="B540" s="2">
        <v>45900</v>
      </c>
      <c r="C540" t="s">
        <v>34</v>
      </c>
      <c r="D540" t="s">
        <v>14</v>
      </c>
      <c r="E540" t="s">
        <v>56</v>
      </c>
      <c r="F540" t="s">
        <v>16</v>
      </c>
      <c r="G540">
        <v>4</v>
      </c>
      <c r="H540">
        <v>27552.02</v>
      </c>
      <c r="I540">
        <v>0</v>
      </c>
      <c r="J540">
        <v>110208.08</v>
      </c>
      <c r="K540" t="s">
        <v>37</v>
      </c>
      <c r="L540" t="s">
        <v>29</v>
      </c>
    </row>
    <row r="541" spans="1:12" x14ac:dyDescent="0.3">
      <c r="A541" t="s">
        <v>782</v>
      </c>
      <c r="B541" s="2">
        <v>45955</v>
      </c>
      <c r="C541" t="s">
        <v>747</v>
      </c>
      <c r="D541" t="s">
        <v>21</v>
      </c>
      <c r="E541" t="s">
        <v>52</v>
      </c>
      <c r="F541" t="s">
        <v>16</v>
      </c>
      <c r="G541">
        <v>3</v>
      </c>
      <c r="H541">
        <v>7121.81</v>
      </c>
      <c r="I541">
        <v>0</v>
      </c>
      <c r="J541">
        <v>21365.43</v>
      </c>
      <c r="K541" t="s">
        <v>37</v>
      </c>
      <c r="L541" t="s">
        <v>29</v>
      </c>
    </row>
    <row r="542" spans="1:12" x14ac:dyDescent="0.3">
      <c r="A542" t="s">
        <v>783</v>
      </c>
      <c r="B542" s="2">
        <v>45729</v>
      </c>
      <c r="C542" t="s">
        <v>312</v>
      </c>
      <c r="D542" t="s">
        <v>61</v>
      </c>
      <c r="E542" t="s">
        <v>56</v>
      </c>
      <c r="F542" t="s">
        <v>16</v>
      </c>
      <c r="G542">
        <v>1</v>
      </c>
      <c r="H542">
        <v>28370</v>
      </c>
      <c r="I542">
        <v>0.05</v>
      </c>
      <c r="J542">
        <v>26951.5</v>
      </c>
      <c r="K542" t="s">
        <v>17</v>
      </c>
      <c r="L542" t="s">
        <v>18</v>
      </c>
    </row>
    <row r="543" spans="1:12" x14ac:dyDescent="0.3">
      <c r="A543" t="s">
        <v>784</v>
      </c>
      <c r="B543" s="2">
        <v>45720</v>
      </c>
      <c r="C543" t="s">
        <v>627</v>
      </c>
      <c r="D543" t="s">
        <v>21</v>
      </c>
      <c r="E543" t="s">
        <v>28</v>
      </c>
      <c r="F543" t="s">
        <v>16</v>
      </c>
      <c r="G543">
        <v>1</v>
      </c>
      <c r="H543">
        <v>2984.54</v>
      </c>
      <c r="I543">
        <v>0.05</v>
      </c>
      <c r="J543">
        <v>2835.31</v>
      </c>
      <c r="K543" t="s">
        <v>37</v>
      </c>
      <c r="L543" t="s">
        <v>18</v>
      </c>
    </row>
    <row r="544" spans="1:12" x14ac:dyDescent="0.3">
      <c r="A544" t="s">
        <v>785</v>
      </c>
      <c r="B544" s="2">
        <v>45758</v>
      </c>
      <c r="C544" t="s">
        <v>242</v>
      </c>
      <c r="D544" t="s">
        <v>61</v>
      </c>
      <c r="E544" t="s">
        <v>56</v>
      </c>
      <c r="F544" t="s">
        <v>16</v>
      </c>
      <c r="G544">
        <v>1</v>
      </c>
      <c r="H544">
        <v>28708.16</v>
      </c>
      <c r="I544">
        <v>0</v>
      </c>
      <c r="J544">
        <v>28708.16</v>
      </c>
      <c r="K544" t="s">
        <v>32</v>
      </c>
      <c r="L544" t="s">
        <v>18</v>
      </c>
    </row>
    <row r="545" spans="1:12" x14ac:dyDescent="0.3">
      <c r="A545" t="s">
        <v>786</v>
      </c>
      <c r="B545" s="2">
        <v>45885</v>
      </c>
      <c r="C545" t="s">
        <v>40</v>
      </c>
      <c r="D545" t="s">
        <v>48</v>
      </c>
      <c r="E545" t="s">
        <v>35</v>
      </c>
      <c r="F545" t="s">
        <v>36</v>
      </c>
      <c r="G545">
        <v>3</v>
      </c>
      <c r="H545">
        <v>1881.91</v>
      </c>
      <c r="I545">
        <v>0.1</v>
      </c>
      <c r="J545">
        <v>5081.16</v>
      </c>
      <c r="K545" t="s">
        <v>32</v>
      </c>
      <c r="L545" t="s">
        <v>18</v>
      </c>
    </row>
    <row r="546" spans="1:12" x14ac:dyDescent="0.3">
      <c r="A546" t="s">
        <v>787</v>
      </c>
      <c r="B546" s="2">
        <v>45805</v>
      </c>
      <c r="C546" t="s">
        <v>196</v>
      </c>
      <c r="D546" t="s">
        <v>48</v>
      </c>
      <c r="E546" t="s">
        <v>35</v>
      </c>
      <c r="F546" t="s">
        <v>36</v>
      </c>
      <c r="G546">
        <v>3</v>
      </c>
      <c r="H546">
        <v>1675.4</v>
      </c>
      <c r="I546">
        <v>0.1</v>
      </c>
      <c r="J546">
        <v>4523.58</v>
      </c>
      <c r="K546" t="s">
        <v>17</v>
      </c>
      <c r="L546" t="s">
        <v>18</v>
      </c>
    </row>
    <row r="547" spans="1:12" x14ac:dyDescent="0.3">
      <c r="A547" t="s">
        <v>788</v>
      </c>
      <c r="B547" s="2">
        <v>45702</v>
      </c>
      <c r="C547" t="s">
        <v>139</v>
      </c>
      <c r="D547" t="s">
        <v>61</v>
      </c>
      <c r="E547" t="s">
        <v>49</v>
      </c>
      <c r="F547" t="s">
        <v>23</v>
      </c>
      <c r="G547">
        <v>2</v>
      </c>
      <c r="H547">
        <v>5895.07</v>
      </c>
      <c r="I547">
        <v>0</v>
      </c>
      <c r="J547">
        <v>11790.14</v>
      </c>
      <c r="K547" t="s">
        <v>24</v>
      </c>
      <c r="L547" t="s">
        <v>18</v>
      </c>
    </row>
    <row r="548" spans="1:12" x14ac:dyDescent="0.3">
      <c r="A548" t="s">
        <v>789</v>
      </c>
      <c r="B548" s="2">
        <v>45986</v>
      </c>
      <c r="C548" t="s">
        <v>790</v>
      </c>
      <c r="D548" t="s">
        <v>48</v>
      </c>
      <c r="E548" t="s">
        <v>35</v>
      </c>
      <c r="F548" t="s">
        <v>36</v>
      </c>
      <c r="G548">
        <v>1</v>
      </c>
      <c r="H548">
        <v>1942.45</v>
      </c>
      <c r="I548">
        <v>0.15</v>
      </c>
      <c r="J548">
        <v>1651.08</v>
      </c>
      <c r="K548" t="s">
        <v>24</v>
      </c>
      <c r="L548" t="s">
        <v>38</v>
      </c>
    </row>
    <row r="549" spans="1:12" x14ac:dyDescent="0.3">
      <c r="A549" t="s">
        <v>791</v>
      </c>
      <c r="B549" s="2">
        <v>45662</v>
      </c>
      <c r="C549" t="s">
        <v>295</v>
      </c>
      <c r="D549" t="s">
        <v>61</v>
      </c>
      <c r="E549" t="s">
        <v>41</v>
      </c>
      <c r="F549" t="s">
        <v>42</v>
      </c>
      <c r="G549">
        <v>1</v>
      </c>
      <c r="H549">
        <v>1473.79</v>
      </c>
      <c r="I549">
        <v>0.05</v>
      </c>
      <c r="J549">
        <v>1400.1</v>
      </c>
      <c r="K549" t="s">
        <v>24</v>
      </c>
      <c r="L549" t="s">
        <v>18</v>
      </c>
    </row>
    <row r="550" spans="1:12" x14ac:dyDescent="0.3">
      <c r="A550" t="s">
        <v>792</v>
      </c>
      <c r="B550" s="2">
        <v>45794</v>
      </c>
      <c r="C550" t="s">
        <v>179</v>
      </c>
      <c r="D550" t="s">
        <v>61</v>
      </c>
      <c r="E550" t="s">
        <v>56</v>
      </c>
      <c r="F550" t="s">
        <v>16</v>
      </c>
      <c r="G550">
        <v>1</v>
      </c>
      <c r="H550">
        <v>25368.12</v>
      </c>
      <c r="I550">
        <v>0.2</v>
      </c>
      <c r="J550">
        <v>20294.5</v>
      </c>
      <c r="K550" t="s">
        <v>17</v>
      </c>
      <c r="L550" t="s">
        <v>18</v>
      </c>
    </row>
    <row r="551" spans="1:12" x14ac:dyDescent="0.3">
      <c r="A551" t="s">
        <v>793</v>
      </c>
      <c r="B551" s="2">
        <v>45996</v>
      </c>
      <c r="C551" t="s">
        <v>794</v>
      </c>
      <c r="D551" t="s">
        <v>45</v>
      </c>
      <c r="E551" t="s">
        <v>28</v>
      </c>
      <c r="F551" t="s">
        <v>16</v>
      </c>
      <c r="G551">
        <v>1</v>
      </c>
      <c r="H551">
        <v>3204.53</v>
      </c>
      <c r="I551">
        <v>0.1</v>
      </c>
      <c r="J551">
        <v>2884.08</v>
      </c>
      <c r="K551" t="s">
        <v>32</v>
      </c>
      <c r="L551" t="s">
        <v>29</v>
      </c>
    </row>
    <row r="552" spans="1:12" x14ac:dyDescent="0.3">
      <c r="A552" t="s">
        <v>795</v>
      </c>
      <c r="B552" s="2">
        <v>45801</v>
      </c>
      <c r="C552" t="s">
        <v>279</v>
      </c>
      <c r="D552" t="s">
        <v>48</v>
      </c>
      <c r="E552" t="s">
        <v>49</v>
      </c>
      <c r="F552" t="s">
        <v>23</v>
      </c>
      <c r="G552">
        <v>1</v>
      </c>
      <c r="H552">
        <v>6583.5</v>
      </c>
      <c r="I552">
        <v>0</v>
      </c>
      <c r="J552">
        <v>6583.5</v>
      </c>
      <c r="K552" t="s">
        <v>17</v>
      </c>
      <c r="L552" t="s">
        <v>38</v>
      </c>
    </row>
    <row r="553" spans="1:12" x14ac:dyDescent="0.3">
      <c r="A553" t="s">
        <v>796</v>
      </c>
      <c r="B553" s="2">
        <v>45963</v>
      </c>
      <c r="C553" t="s">
        <v>577</v>
      </c>
      <c r="D553" t="s">
        <v>61</v>
      </c>
      <c r="E553" t="s">
        <v>84</v>
      </c>
      <c r="F553" t="s">
        <v>42</v>
      </c>
      <c r="G553">
        <v>3</v>
      </c>
      <c r="H553">
        <v>2956.53</v>
      </c>
      <c r="I553">
        <v>0.05</v>
      </c>
      <c r="J553">
        <v>8426.11</v>
      </c>
      <c r="K553" t="s">
        <v>37</v>
      </c>
      <c r="L553" t="s">
        <v>38</v>
      </c>
    </row>
    <row r="554" spans="1:12" x14ac:dyDescent="0.3">
      <c r="A554" t="s">
        <v>797</v>
      </c>
      <c r="B554" s="2">
        <v>45763</v>
      </c>
      <c r="C554" t="s">
        <v>127</v>
      </c>
      <c r="D554" t="s">
        <v>21</v>
      </c>
      <c r="E554" t="s">
        <v>52</v>
      </c>
      <c r="F554" t="s">
        <v>16</v>
      </c>
      <c r="G554">
        <v>1</v>
      </c>
      <c r="H554">
        <v>7898.05</v>
      </c>
      <c r="I554">
        <v>0</v>
      </c>
      <c r="J554">
        <v>7898.05</v>
      </c>
      <c r="K554" t="s">
        <v>32</v>
      </c>
      <c r="L554" t="s">
        <v>18</v>
      </c>
    </row>
    <row r="555" spans="1:12" x14ac:dyDescent="0.3">
      <c r="A555" t="s">
        <v>798</v>
      </c>
      <c r="B555" s="2">
        <v>45852</v>
      </c>
      <c r="C555" t="s">
        <v>799</v>
      </c>
      <c r="D555" t="s">
        <v>27</v>
      </c>
      <c r="E555" t="s">
        <v>15</v>
      </c>
      <c r="F555" t="s">
        <v>16</v>
      </c>
      <c r="G555">
        <v>1</v>
      </c>
      <c r="H555">
        <v>19467.34</v>
      </c>
      <c r="I555">
        <v>0.2</v>
      </c>
      <c r="J555">
        <v>15573.87</v>
      </c>
      <c r="K555" t="s">
        <v>24</v>
      </c>
      <c r="L555" t="s">
        <v>29</v>
      </c>
    </row>
    <row r="556" spans="1:12" x14ac:dyDescent="0.3">
      <c r="A556" t="s">
        <v>800</v>
      </c>
      <c r="B556" s="2">
        <v>45938</v>
      </c>
      <c r="C556" t="s">
        <v>367</v>
      </c>
      <c r="D556" t="s">
        <v>45</v>
      </c>
      <c r="E556" t="s">
        <v>84</v>
      </c>
      <c r="F556" t="s">
        <v>42</v>
      </c>
      <c r="G556">
        <v>2</v>
      </c>
      <c r="H556">
        <v>2674.52</v>
      </c>
      <c r="I556">
        <v>0.05</v>
      </c>
      <c r="J556">
        <v>5081.59</v>
      </c>
      <c r="K556" t="s">
        <v>24</v>
      </c>
      <c r="L556" t="s">
        <v>29</v>
      </c>
    </row>
    <row r="557" spans="1:12" x14ac:dyDescent="0.3">
      <c r="A557" t="s">
        <v>801</v>
      </c>
      <c r="B557" s="2">
        <v>45903</v>
      </c>
      <c r="C557" t="s">
        <v>326</v>
      </c>
      <c r="D557" t="s">
        <v>45</v>
      </c>
      <c r="E557" t="s">
        <v>28</v>
      </c>
      <c r="F557" t="s">
        <v>16</v>
      </c>
      <c r="G557">
        <v>2</v>
      </c>
      <c r="H557">
        <v>3019.98</v>
      </c>
      <c r="I557">
        <v>0.1</v>
      </c>
      <c r="J557">
        <v>5435.96</v>
      </c>
      <c r="K557" t="s">
        <v>24</v>
      </c>
      <c r="L557" t="s">
        <v>18</v>
      </c>
    </row>
    <row r="558" spans="1:12" x14ac:dyDescent="0.3">
      <c r="A558" t="s">
        <v>802</v>
      </c>
      <c r="B558" s="2">
        <v>45746</v>
      </c>
      <c r="C558" t="s">
        <v>225</v>
      </c>
      <c r="D558" t="s">
        <v>21</v>
      </c>
      <c r="E558" t="s">
        <v>84</v>
      </c>
      <c r="F558" t="s">
        <v>42</v>
      </c>
      <c r="G558">
        <v>1</v>
      </c>
      <c r="H558">
        <v>2622.73</v>
      </c>
      <c r="I558">
        <v>0.2</v>
      </c>
      <c r="J558">
        <v>2098.1799999999998</v>
      </c>
      <c r="K558" t="s">
        <v>32</v>
      </c>
      <c r="L558" t="s">
        <v>18</v>
      </c>
    </row>
    <row r="559" spans="1:12" x14ac:dyDescent="0.3">
      <c r="A559" t="s">
        <v>803</v>
      </c>
      <c r="B559" s="2">
        <v>45696</v>
      </c>
      <c r="C559" t="s">
        <v>108</v>
      </c>
      <c r="D559" t="s">
        <v>109</v>
      </c>
      <c r="E559" t="s">
        <v>56</v>
      </c>
      <c r="F559" t="s">
        <v>16</v>
      </c>
      <c r="G559">
        <v>2</v>
      </c>
      <c r="H559">
        <v>29915.29</v>
      </c>
      <c r="I559">
        <v>0.1</v>
      </c>
      <c r="J559">
        <v>53847.519999999997</v>
      </c>
      <c r="K559" t="s">
        <v>37</v>
      </c>
      <c r="L559" t="s">
        <v>29</v>
      </c>
    </row>
    <row r="560" spans="1:12" x14ac:dyDescent="0.3">
      <c r="A560" t="s">
        <v>804</v>
      </c>
      <c r="B560" s="2">
        <v>45851</v>
      </c>
      <c r="C560" t="s">
        <v>66</v>
      </c>
      <c r="D560" t="s">
        <v>61</v>
      </c>
      <c r="E560" t="s">
        <v>84</v>
      </c>
      <c r="F560" t="s">
        <v>42</v>
      </c>
      <c r="G560">
        <v>1</v>
      </c>
      <c r="H560">
        <v>2971.09</v>
      </c>
      <c r="I560">
        <v>0.1</v>
      </c>
      <c r="J560">
        <v>2673.98</v>
      </c>
      <c r="K560" t="s">
        <v>32</v>
      </c>
      <c r="L560" t="s">
        <v>29</v>
      </c>
    </row>
    <row r="561" spans="1:12" x14ac:dyDescent="0.3">
      <c r="A561" t="s">
        <v>805</v>
      </c>
      <c r="B561" s="2">
        <v>46014</v>
      </c>
      <c r="C561" t="s">
        <v>390</v>
      </c>
      <c r="D561" t="s">
        <v>48</v>
      </c>
      <c r="E561" t="s">
        <v>28</v>
      </c>
      <c r="F561" t="s">
        <v>16</v>
      </c>
      <c r="G561">
        <v>1</v>
      </c>
      <c r="H561">
        <v>3229.89</v>
      </c>
      <c r="I561">
        <v>0.05</v>
      </c>
      <c r="J561">
        <v>3068.4</v>
      </c>
      <c r="K561" t="s">
        <v>24</v>
      </c>
      <c r="L561" t="s">
        <v>38</v>
      </c>
    </row>
    <row r="562" spans="1:12" x14ac:dyDescent="0.3">
      <c r="A562" t="s">
        <v>806</v>
      </c>
      <c r="B562" s="2">
        <v>45863</v>
      </c>
      <c r="C562" t="s">
        <v>559</v>
      </c>
      <c r="D562" t="s">
        <v>45</v>
      </c>
      <c r="E562" t="s">
        <v>49</v>
      </c>
      <c r="F562" t="s">
        <v>23</v>
      </c>
      <c r="G562">
        <v>1</v>
      </c>
      <c r="H562">
        <v>6231.36</v>
      </c>
      <c r="I562">
        <v>0.1</v>
      </c>
      <c r="J562">
        <v>5608.22</v>
      </c>
      <c r="K562" t="s">
        <v>32</v>
      </c>
      <c r="L562" t="s">
        <v>29</v>
      </c>
    </row>
    <row r="563" spans="1:12" x14ac:dyDescent="0.3">
      <c r="A563" t="s">
        <v>807</v>
      </c>
      <c r="B563" s="2">
        <v>45808</v>
      </c>
      <c r="C563" t="s">
        <v>97</v>
      </c>
      <c r="D563" t="s">
        <v>14</v>
      </c>
      <c r="E563" t="s">
        <v>15</v>
      </c>
      <c r="F563" t="s">
        <v>16</v>
      </c>
      <c r="G563">
        <v>3</v>
      </c>
      <c r="H563">
        <v>21341.02</v>
      </c>
      <c r="I563">
        <v>0.1</v>
      </c>
      <c r="J563">
        <v>57620.75</v>
      </c>
      <c r="K563" t="s">
        <v>32</v>
      </c>
      <c r="L563" t="s">
        <v>18</v>
      </c>
    </row>
    <row r="564" spans="1:12" x14ac:dyDescent="0.3">
      <c r="A564" t="s">
        <v>808</v>
      </c>
      <c r="B564" s="2">
        <v>45855</v>
      </c>
      <c r="C564" t="s">
        <v>577</v>
      </c>
      <c r="D564" t="s">
        <v>27</v>
      </c>
      <c r="F564" t="s">
        <v>36</v>
      </c>
      <c r="G564">
        <v>2</v>
      </c>
      <c r="H564">
        <v>1625.85</v>
      </c>
      <c r="I564">
        <v>0.05</v>
      </c>
      <c r="J564">
        <v>3089.12</v>
      </c>
      <c r="K564" t="s">
        <v>37</v>
      </c>
      <c r="L564" t="s">
        <v>38</v>
      </c>
    </row>
    <row r="565" spans="1:12" x14ac:dyDescent="0.3">
      <c r="A565" t="s">
        <v>809</v>
      </c>
      <c r="B565" s="2">
        <v>45967</v>
      </c>
      <c r="C565" t="s">
        <v>360</v>
      </c>
      <c r="D565" t="s">
        <v>109</v>
      </c>
      <c r="E565" t="s">
        <v>56</v>
      </c>
      <c r="F565" t="s">
        <v>16</v>
      </c>
      <c r="G565">
        <v>1</v>
      </c>
      <c r="H565">
        <v>30375.82</v>
      </c>
      <c r="I565">
        <v>0.1</v>
      </c>
      <c r="J565">
        <v>27338.240000000002</v>
      </c>
      <c r="K565" t="s">
        <v>37</v>
      </c>
      <c r="L565" t="s">
        <v>18</v>
      </c>
    </row>
    <row r="566" spans="1:12" x14ac:dyDescent="0.3">
      <c r="A566" t="s">
        <v>810</v>
      </c>
      <c r="B566" s="2">
        <v>46010</v>
      </c>
      <c r="C566" t="s">
        <v>403</v>
      </c>
      <c r="D566" t="s">
        <v>14</v>
      </c>
      <c r="E566" t="s">
        <v>49</v>
      </c>
      <c r="F566" t="s">
        <v>23</v>
      </c>
      <c r="G566">
        <v>2</v>
      </c>
      <c r="H566">
        <v>6003.68</v>
      </c>
      <c r="I566">
        <v>0.1</v>
      </c>
      <c r="J566">
        <v>10806.62</v>
      </c>
      <c r="K566" t="s">
        <v>37</v>
      </c>
      <c r="L566" t="s">
        <v>29</v>
      </c>
    </row>
    <row r="567" spans="1:12" x14ac:dyDescent="0.3">
      <c r="A567" t="s">
        <v>811</v>
      </c>
      <c r="B567" s="2">
        <v>45869</v>
      </c>
      <c r="C567" t="s">
        <v>164</v>
      </c>
      <c r="D567" t="s">
        <v>45</v>
      </c>
      <c r="E567" t="s">
        <v>28</v>
      </c>
      <c r="F567" t="s">
        <v>16</v>
      </c>
      <c r="G567">
        <v>1</v>
      </c>
      <c r="H567">
        <v>3452.42</v>
      </c>
      <c r="I567">
        <v>0.1</v>
      </c>
      <c r="J567">
        <v>3107.18</v>
      </c>
      <c r="K567" t="s">
        <v>37</v>
      </c>
      <c r="L567" t="s">
        <v>29</v>
      </c>
    </row>
    <row r="568" spans="1:12" x14ac:dyDescent="0.3">
      <c r="A568" t="s">
        <v>812</v>
      </c>
      <c r="B568" s="2">
        <v>45876</v>
      </c>
      <c r="C568" t="s">
        <v>26</v>
      </c>
      <c r="D568" t="s">
        <v>61</v>
      </c>
      <c r="E568" t="s">
        <v>41</v>
      </c>
      <c r="F568" t="s">
        <v>42</v>
      </c>
      <c r="G568">
        <v>1</v>
      </c>
      <c r="H568">
        <v>1756.43</v>
      </c>
      <c r="I568">
        <v>0.1</v>
      </c>
      <c r="J568">
        <v>1580.79</v>
      </c>
      <c r="K568" t="s">
        <v>37</v>
      </c>
      <c r="L568" t="s">
        <v>18</v>
      </c>
    </row>
    <row r="569" spans="1:12" x14ac:dyDescent="0.3">
      <c r="A569" t="s">
        <v>813</v>
      </c>
      <c r="B569" s="2">
        <v>45711</v>
      </c>
      <c r="C569" t="s">
        <v>60</v>
      </c>
      <c r="D569" t="s">
        <v>14</v>
      </c>
      <c r="E569" t="s">
        <v>56</v>
      </c>
      <c r="F569" t="s">
        <v>16</v>
      </c>
      <c r="G569">
        <v>1</v>
      </c>
      <c r="H569">
        <v>27686.98</v>
      </c>
      <c r="I569">
        <v>0.2</v>
      </c>
      <c r="J569">
        <v>22149.58</v>
      </c>
      <c r="K569" t="s">
        <v>32</v>
      </c>
      <c r="L569" t="s">
        <v>29</v>
      </c>
    </row>
    <row r="570" spans="1:12" x14ac:dyDescent="0.3">
      <c r="A570" t="s">
        <v>814</v>
      </c>
      <c r="B570" s="2">
        <v>45997</v>
      </c>
      <c r="C570" t="s">
        <v>81</v>
      </c>
      <c r="D570" t="s">
        <v>45</v>
      </c>
      <c r="E570" t="s">
        <v>41</v>
      </c>
      <c r="F570" t="s">
        <v>42</v>
      </c>
      <c r="G570">
        <v>1</v>
      </c>
      <c r="H570">
        <v>1568.87</v>
      </c>
      <c r="I570">
        <v>0</v>
      </c>
      <c r="J570">
        <v>1568.87</v>
      </c>
      <c r="K570" t="s">
        <v>32</v>
      </c>
      <c r="L570" t="s">
        <v>18</v>
      </c>
    </row>
    <row r="571" spans="1:12" x14ac:dyDescent="0.3">
      <c r="A571" t="s">
        <v>815</v>
      </c>
      <c r="B571" s="2">
        <v>45766</v>
      </c>
      <c r="C571" t="s">
        <v>157</v>
      </c>
      <c r="D571" t="s">
        <v>27</v>
      </c>
      <c r="E571" t="s">
        <v>35</v>
      </c>
      <c r="F571" t="s">
        <v>36</v>
      </c>
      <c r="G571">
        <v>1</v>
      </c>
      <c r="H571">
        <v>1869.63</v>
      </c>
      <c r="I571">
        <v>0.05</v>
      </c>
      <c r="J571">
        <v>1776.15</v>
      </c>
      <c r="K571" t="s">
        <v>17</v>
      </c>
      <c r="L571" t="s">
        <v>38</v>
      </c>
    </row>
    <row r="572" spans="1:12" x14ac:dyDescent="0.3">
      <c r="A572" t="s">
        <v>816</v>
      </c>
      <c r="B572" s="2">
        <v>45845</v>
      </c>
      <c r="C572" t="s">
        <v>122</v>
      </c>
      <c r="D572" t="s">
        <v>48</v>
      </c>
      <c r="E572" t="s">
        <v>62</v>
      </c>
      <c r="F572" t="s">
        <v>23</v>
      </c>
      <c r="G572">
        <v>2</v>
      </c>
      <c r="H572">
        <v>1124.79</v>
      </c>
      <c r="I572">
        <v>0.1</v>
      </c>
      <c r="J572">
        <v>2024.62</v>
      </c>
      <c r="K572" t="s">
        <v>32</v>
      </c>
      <c r="L572" t="s">
        <v>18</v>
      </c>
    </row>
    <row r="573" spans="1:12" x14ac:dyDescent="0.3">
      <c r="A573" t="s">
        <v>817</v>
      </c>
      <c r="B573" s="2">
        <v>45955</v>
      </c>
      <c r="C573" t="s">
        <v>237</v>
      </c>
      <c r="D573" t="s">
        <v>14</v>
      </c>
      <c r="E573" t="s">
        <v>35</v>
      </c>
      <c r="F573" t="s">
        <v>36</v>
      </c>
      <c r="G573">
        <v>3</v>
      </c>
      <c r="H573">
        <v>1665.2</v>
      </c>
      <c r="I573">
        <v>0</v>
      </c>
      <c r="J573">
        <v>4995.6000000000004</v>
      </c>
      <c r="K573" t="s">
        <v>24</v>
      </c>
      <c r="L573" t="s">
        <v>18</v>
      </c>
    </row>
    <row r="574" spans="1:12" x14ac:dyDescent="0.3">
      <c r="A574" t="s">
        <v>818</v>
      </c>
      <c r="B574" s="2">
        <v>45925</v>
      </c>
      <c r="C574" t="s">
        <v>819</v>
      </c>
      <c r="D574" t="s">
        <v>61</v>
      </c>
      <c r="E574" t="s">
        <v>15</v>
      </c>
      <c r="F574" t="s">
        <v>16</v>
      </c>
      <c r="G574">
        <v>3</v>
      </c>
      <c r="H574">
        <v>22396.15</v>
      </c>
      <c r="I574">
        <v>0.1</v>
      </c>
      <c r="J574">
        <v>60469.61</v>
      </c>
      <c r="K574" t="s">
        <v>17</v>
      </c>
      <c r="L574" t="s">
        <v>18</v>
      </c>
    </row>
    <row r="575" spans="1:12" x14ac:dyDescent="0.3">
      <c r="A575" t="s">
        <v>820</v>
      </c>
      <c r="B575" s="2">
        <v>45887</v>
      </c>
      <c r="C575" t="s">
        <v>466</v>
      </c>
      <c r="D575" t="s">
        <v>109</v>
      </c>
      <c r="E575" t="s">
        <v>35</v>
      </c>
      <c r="F575" t="s">
        <v>36</v>
      </c>
      <c r="G575">
        <v>3</v>
      </c>
      <c r="H575">
        <v>1799.33</v>
      </c>
      <c r="I575">
        <v>0</v>
      </c>
      <c r="J575">
        <v>5397.99</v>
      </c>
      <c r="K575" t="s">
        <v>32</v>
      </c>
      <c r="L575" t="s">
        <v>38</v>
      </c>
    </row>
    <row r="576" spans="1:12" x14ac:dyDescent="0.3">
      <c r="A576" t="s">
        <v>821</v>
      </c>
      <c r="B576" s="2">
        <v>45924</v>
      </c>
      <c r="C576" t="s">
        <v>246</v>
      </c>
      <c r="D576" t="s">
        <v>45</v>
      </c>
      <c r="E576" t="s">
        <v>41</v>
      </c>
      <c r="F576" t="s">
        <v>42</v>
      </c>
      <c r="G576">
        <v>2</v>
      </c>
      <c r="H576">
        <v>1556.74</v>
      </c>
      <c r="I576">
        <v>0.1</v>
      </c>
      <c r="J576">
        <v>2802.13</v>
      </c>
      <c r="K576" t="s">
        <v>32</v>
      </c>
      <c r="L576" t="s">
        <v>18</v>
      </c>
    </row>
    <row r="577" spans="1:12" x14ac:dyDescent="0.3">
      <c r="A577" t="s">
        <v>822</v>
      </c>
      <c r="B577" s="2">
        <v>45703</v>
      </c>
      <c r="C577" t="s">
        <v>114</v>
      </c>
      <c r="D577" t="s">
        <v>27</v>
      </c>
      <c r="E577" t="s">
        <v>84</v>
      </c>
      <c r="F577" t="s">
        <v>42</v>
      </c>
      <c r="G577">
        <v>2</v>
      </c>
      <c r="H577">
        <v>3030.35</v>
      </c>
      <c r="I577">
        <v>0.05</v>
      </c>
      <c r="J577">
        <v>5757.66</v>
      </c>
      <c r="K577" t="s">
        <v>37</v>
      </c>
      <c r="L577" t="s">
        <v>29</v>
      </c>
    </row>
    <row r="578" spans="1:12" x14ac:dyDescent="0.3">
      <c r="A578" t="s">
        <v>823</v>
      </c>
      <c r="B578" s="2">
        <v>45962</v>
      </c>
      <c r="C578" t="s">
        <v>312</v>
      </c>
      <c r="D578" t="s">
        <v>48</v>
      </c>
      <c r="E578" t="s">
        <v>84</v>
      </c>
      <c r="F578" t="s">
        <v>42</v>
      </c>
      <c r="G578">
        <v>1</v>
      </c>
      <c r="H578">
        <v>2741.72</v>
      </c>
      <c r="I578">
        <v>0.1</v>
      </c>
      <c r="J578">
        <v>2467.5500000000002</v>
      </c>
      <c r="K578" t="s">
        <v>24</v>
      </c>
      <c r="L578" t="s">
        <v>18</v>
      </c>
    </row>
    <row r="579" spans="1:12" x14ac:dyDescent="0.3">
      <c r="A579" t="s">
        <v>824</v>
      </c>
      <c r="B579" s="2">
        <v>45970</v>
      </c>
      <c r="C579" t="s">
        <v>825</v>
      </c>
      <c r="D579" t="s">
        <v>27</v>
      </c>
      <c r="E579" t="s">
        <v>52</v>
      </c>
      <c r="F579" t="s">
        <v>16</v>
      </c>
      <c r="G579">
        <v>1</v>
      </c>
      <c r="H579">
        <v>7626.81</v>
      </c>
      <c r="I579">
        <v>0</v>
      </c>
      <c r="J579">
        <v>7626.81</v>
      </c>
      <c r="K579" t="s">
        <v>24</v>
      </c>
      <c r="L579" t="s">
        <v>18</v>
      </c>
    </row>
    <row r="580" spans="1:12" x14ac:dyDescent="0.3">
      <c r="A580" t="s">
        <v>826</v>
      </c>
      <c r="B580" s="2">
        <v>45865</v>
      </c>
      <c r="C580" t="s">
        <v>242</v>
      </c>
      <c r="D580" t="s">
        <v>21</v>
      </c>
      <c r="E580" t="s">
        <v>56</v>
      </c>
      <c r="F580" t="s">
        <v>16</v>
      </c>
      <c r="G580">
        <v>1</v>
      </c>
      <c r="H580">
        <v>27996.1</v>
      </c>
      <c r="I580">
        <v>0</v>
      </c>
      <c r="J580">
        <v>27996.1</v>
      </c>
      <c r="K580" t="s">
        <v>37</v>
      </c>
      <c r="L580" t="s">
        <v>38</v>
      </c>
    </row>
    <row r="581" spans="1:12" x14ac:dyDescent="0.3">
      <c r="A581" t="s">
        <v>827</v>
      </c>
      <c r="B581" s="2">
        <v>45838</v>
      </c>
      <c r="C581" t="s">
        <v>200</v>
      </c>
      <c r="D581" t="s">
        <v>48</v>
      </c>
      <c r="E581" t="s">
        <v>49</v>
      </c>
      <c r="F581" t="s">
        <v>23</v>
      </c>
      <c r="G581">
        <v>5</v>
      </c>
      <c r="H581">
        <v>6648.17</v>
      </c>
      <c r="I581">
        <v>0</v>
      </c>
      <c r="J581">
        <v>33240.85</v>
      </c>
      <c r="K581" t="s">
        <v>32</v>
      </c>
      <c r="L581" t="s">
        <v>18</v>
      </c>
    </row>
    <row r="582" spans="1:12" x14ac:dyDescent="0.3">
      <c r="A582" t="s">
        <v>828</v>
      </c>
      <c r="B582" s="2">
        <v>45826</v>
      </c>
      <c r="C582" t="s">
        <v>253</v>
      </c>
      <c r="D582" t="s">
        <v>109</v>
      </c>
      <c r="E582" t="s">
        <v>49</v>
      </c>
      <c r="F582" t="s">
        <v>23</v>
      </c>
      <c r="G582">
        <v>1</v>
      </c>
      <c r="H582">
        <v>6025.96</v>
      </c>
      <c r="I582">
        <v>0.1</v>
      </c>
      <c r="J582">
        <v>5423.36</v>
      </c>
      <c r="K582" t="s">
        <v>37</v>
      </c>
      <c r="L582" t="s">
        <v>29</v>
      </c>
    </row>
    <row r="583" spans="1:12" x14ac:dyDescent="0.3">
      <c r="A583" t="s">
        <v>829</v>
      </c>
      <c r="B583" s="2">
        <v>45845</v>
      </c>
      <c r="C583" t="s">
        <v>454</v>
      </c>
      <c r="D583" t="s">
        <v>21</v>
      </c>
      <c r="E583" t="s">
        <v>35</v>
      </c>
      <c r="F583" t="s">
        <v>36</v>
      </c>
      <c r="G583">
        <v>1</v>
      </c>
      <c r="H583">
        <v>1665.66</v>
      </c>
      <c r="I583">
        <v>0</v>
      </c>
      <c r="J583">
        <v>1665.66</v>
      </c>
      <c r="K583" t="s">
        <v>37</v>
      </c>
      <c r="L583" t="s">
        <v>29</v>
      </c>
    </row>
    <row r="584" spans="1:12" x14ac:dyDescent="0.3">
      <c r="A584" t="s">
        <v>830</v>
      </c>
      <c r="B584" s="2">
        <v>45846</v>
      </c>
      <c r="C584" t="s">
        <v>164</v>
      </c>
      <c r="D584" t="s">
        <v>45</v>
      </c>
      <c r="E584" t="s">
        <v>84</v>
      </c>
      <c r="F584" t="s">
        <v>42</v>
      </c>
      <c r="G584">
        <v>1</v>
      </c>
      <c r="H584">
        <v>2723.64</v>
      </c>
      <c r="I584">
        <v>0</v>
      </c>
      <c r="J584">
        <v>2723.64</v>
      </c>
      <c r="K584" t="s">
        <v>32</v>
      </c>
      <c r="L584" t="s">
        <v>38</v>
      </c>
    </row>
    <row r="585" spans="1:12" x14ac:dyDescent="0.3">
      <c r="A585" t="s">
        <v>831</v>
      </c>
      <c r="B585" s="2">
        <v>45803</v>
      </c>
      <c r="C585" t="s">
        <v>694</v>
      </c>
      <c r="D585" t="s">
        <v>21</v>
      </c>
      <c r="E585" t="s">
        <v>62</v>
      </c>
      <c r="F585" t="s">
        <v>23</v>
      </c>
      <c r="G585">
        <v>1</v>
      </c>
      <c r="H585">
        <v>1297.92</v>
      </c>
      <c r="I585">
        <v>0.05</v>
      </c>
      <c r="J585">
        <v>1233.02</v>
      </c>
      <c r="K585" t="s">
        <v>37</v>
      </c>
      <c r="L585" t="s">
        <v>18</v>
      </c>
    </row>
    <row r="586" spans="1:12" x14ac:dyDescent="0.3">
      <c r="A586" t="s">
        <v>832</v>
      </c>
      <c r="B586" s="2">
        <v>45961</v>
      </c>
      <c r="C586" t="s">
        <v>657</v>
      </c>
      <c r="D586" t="s">
        <v>109</v>
      </c>
      <c r="E586" t="s">
        <v>28</v>
      </c>
      <c r="F586" t="s">
        <v>16</v>
      </c>
      <c r="G586">
        <v>1</v>
      </c>
      <c r="H586">
        <v>2931.59</v>
      </c>
      <c r="I586">
        <v>0.05</v>
      </c>
      <c r="J586">
        <v>2785.01</v>
      </c>
      <c r="K586" t="s">
        <v>32</v>
      </c>
      <c r="L586" t="s">
        <v>29</v>
      </c>
    </row>
    <row r="587" spans="1:12" x14ac:dyDescent="0.3">
      <c r="A587" t="s">
        <v>833</v>
      </c>
      <c r="B587" s="2">
        <v>45879</v>
      </c>
      <c r="C587" t="s">
        <v>606</v>
      </c>
      <c r="D587" t="s">
        <v>109</v>
      </c>
      <c r="E587" t="s">
        <v>41</v>
      </c>
      <c r="F587" t="s">
        <v>42</v>
      </c>
      <c r="G587">
        <v>1</v>
      </c>
      <c r="H587">
        <v>1641.63</v>
      </c>
      <c r="I587">
        <v>0.05</v>
      </c>
      <c r="J587">
        <v>1559.55</v>
      </c>
      <c r="K587" t="s">
        <v>24</v>
      </c>
      <c r="L587" t="s">
        <v>18</v>
      </c>
    </row>
    <row r="588" spans="1:12" x14ac:dyDescent="0.3">
      <c r="A588" t="s">
        <v>834</v>
      </c>
      <c r="B588" s="2">
        <v>45894</v>
      </c>
      <c r="C588" t="s">
        <v>264</v>
      </c>
      <c r="D588" t="s">
        <v>48</v>
      </c>
      <c r="E588" t="s">
        <v>52</v>
      </c>
      <c r="F588" t="s">
        <v>16</v>
      </c>
      <c r="G588">
        <v>1</v>
      </c>
      <c r="H588">
        <v>8206.41</v>
      </c>
      <c r="I588">
        <v>0.15</v>
      </c>
      <c r="J588">
        <v>6975.45</v>
      </c>
      <c r="K588" t="s">
        <v>32</v>
      </c>
      <c r="L588" t="s">
        <v>18</v>
      </c>
    </row>
    <row r="589" spans="1:12" x14ac:dyDescent="0.3">
      <c r="A589" t="s">
        <v>835</v>
      </c>
      <c r="B589" s="2">
        <v>45906</v>
      </c>
      <c r="C589" t="s">
        <v>286</v>
      </c>
      <c r="D589" t="s">
        <v>27</v>
      </c>
      <c r="E589" t="s">
        <v>49</v>
      </c>
      <c r="F589" t="s">
        <v>23</v>
      </c>
      <c r="G589">
        <v>2</v>
      </c>
      <c r="H589">
        <v>7066.72</v>
      </c>
      <c r="I589">
        <v>0.05</v>
      </c>
      <c r="J589">
        <v>13426.77</v>
      </c>
      <c r="K589" t="s">
        <v>24</v>
      </c>
      <c r="L589" t="s">
        <v>38</v>
      </c>
    </row>
    <row r="590" spans="1:12" x14ac:dyDescent="0.3">
      <c r="A590" t="s">
        <v>836</v>
      </c>
      <c r="B590" s="2">
        <v>45904</v>
      </c>
      <c r="C590" t="s">
        <v>66</v>
      </c>
      <c r="D590" t="s">
        <v>27</v>
      </c>
      <c r="E590" t="s">
        <v>52</v>
      </c>
      <c r="F590" t="s">
        <v>16</v>
      </c>
      <c r="G590">
        <v>1</v>
      </c>
      <c r="H590">
        <v>6879.2</v>
      </c>
      <c r="I590">
        <v>0.2</v>
      </c>
      <c r="J590">
        <v>5503.36</v>
      </c>
      <c r="K590" t="s">
        <v>17</v>
      </c>
      <c r="L590" t="s">
        <v>18</v>
      </c>
    </row>
    <row r="591" spans="1:12" x14ac:dyDescent="0.3">
      <c r="A591" t="s">
        <v>837</v>
      </c>
      <c r="B591" s="2">
        <v>45916</v>
      </c>
      <c r="C591" t="s">
        <v>838</v>
      </c>
      <c r="D591" t="s">
        <v>14</v>
      </c>
      <c r="E591" t="s">
        <v>49</v>
      </c>
      <c r="F591" t="s">
        <v>23</v>
      </c>
      <c r="G591">
        <v>2</v>
      </c>
      <c r="H591">
        <v>5920.94</v>
      </c>
      <c r="I591">
        <v>0.05</v>
      </c>
      <c r="J591">
        <v>11249.79</v>
      </c>
      <c r="K591" t="s">
        <v>24</v>
      </c>
      <c r="L591" t="s">
        <v>18</v>
      </c>
    </row>
    <row r="592" spans="1:12" x14ac:dyDescent="0.3">
      <c r="A592" t="s">
        <v>839</v>
      </c>
      <c r="B592" s="2">
        <v>45725</v>
      </c>
      <c r="C592" t="s">
        <v>298</v>
      </c>
      <c r="D592" t="s">
        <v>109</v>
      </c>
      <c r="E592" t="s">
        <v>28</v>
      </c>
      <c r="F592" t="s">
        <v>16</v>
      </c>
      <c r="G592">
        <v>1</v>
      </c>
      <c r="H592">
        <v>3405.11</v>
      </c>
      <c r="I592">
        <v>0</v>
      </c>
      <c r="J592">
        <v>3405.11</v>
      </c>
      <c r="K592" t="s">
        <v>32</v>
      </c>
      <c r="L592" t="s">
        <v>18</v>
      </c>
    </row>
    <row r="593" spans="1:12" x14ac:dyDescent="0.3">
      <c r="A593" t="s">
        <v>840</v>
      </c>
      <c r="B593" s="2">
        <v>45682</v>
      </c>
      <c r="C593" t="s">
        <v>122</v>
      </c>
      <c r="D593" t="s">
        <v>45</v>
      </c>
      <c r="E593" t="s">
        <v>41</v>
      </c>
      <c r="F593" t="s">
        <v>42</v>
      </c>
      <c r="G593">
        <v>2</v>
      </c>
      <c r="H593">
        <v>1642.07</v>
      </c>
      <c r="J593">
        <v>2791.52</v>
      </c>
      <c r="K593" t="s">
        <v>17</v>
      </c>
      <c r="L593" t="s">
        <v>18</v>
      </c>
    </row>
    <row r="594" spans="1:12" x14ac:dyDescent="0.3">
      <c r="A594" t="s">
        <v>841</v>
      </c>
      <c r="B594" s="2">
        <v>45922</v>
      </c>
      <c r="C594" t="s">
        <v>704</v>
      </c>
      <c r="D594" t="s">
        <v>45</v>
      </c>
      <c r="E594" t="s">
        <v>22</v>
      </c>
      <c r="F594" t="s">
        <v>23</v>
      </c>
      <c r="G594">
        <v>1</v>
      </c>
      <c r="H594">
        <v>4694.8999999999996</v>
      </c>
      <c r="I594">
        <v>0.05</v>
      </c>
      <c r="J594">
        <v>4460.16</v>
      </c>
      <c r="K594" t="s">
        <v>24</v>
      </c>
      <c r="L594" t="s">
        <v>18</v>
      </c>
    </row>
    <row r="595" spans="1:12" x14ac:dyDescent="0.3">
      <c r="A595" t="s">
        <v>842</v>
      </c>
      <c r="B595" s="2">
        <v>45952</v>
      </c>
      <c r="C595" t="s">
        <v>13</v>
      </c>
      <c r="D595" t="s">
        <v>61</v>
      </c>
      <c r="E595" t="s">
        <v>35</v>
      </c>
      <c r="F595" t="s">
        <v>36</v>
      </c>
      <c r="G595">
        <v>2</v>
      </c>
      <c r="H595">
        <v>1701.64</v>
      </c>
      <c r="I595">
        <v>0.05</v>
      </c>
      <c r="J595">
        <v>3233.12</v>
      </c>
      <c r="K595" t="s">
        <v>17</v>
      </c>
      <c r="L595" t="s">
        <v>18</v>
      </c>
    </row>
    <row r="596" spans="1:12" x14ac:dyDescent="0.3">
      <c r="A596" t="s">
        <v>843</v>
      </c>
      <c r="B596" s="2">
        <v>45663</v>
      </c>
      <c r="C596" t="s">
        <v>577</v>
      </c>
      <c r="D596" t="s">
        <v>61</v>
      </c>
      <c r="E596" t="s">
        <v>28</v>
      </c>
      <c r="F596" t="s">
        <v>16</v>
      </c>
      <c r="G596">
        <v>1</v>
      </c>
      <c r="H596">
        <v>3127.49</v>
      </c>
      <c r="I596">
        <v>0</v>
      </c>
      <c r="J596">
        <v>3127.49</v>
      </c>
      <c r="K596" t="s">
        <v>24</v>
      </c>
      <c r="L596" t="s">
        <v>18</v>
      </c>
    </row>
    <row r="597" spans="1:12" x14ac:dyDescent="0.3">
      <c r="A597" t="s">
        <v>844</v>
      </c>
      <c r="B597" s="2">
        <v>45836</v>
      </c>
      <c r="C597" t="s">
        <v>175</v>
      </c>
      <c r="D597" t="s">
        <v>14</v>
      </c>
      <c r="E597" t="s">
        <v>62</v>
      </c>
      <c r="F597" t="s">
        <v>23</v>
      </c>
      <c r="G597">
        <v>1</v>
      </c>
      <c r="H597">
        <v>1114.8800000000001</v>
      </c>
      <c r="I597">
        <v>0.15</v>
      </c>
      <c r="J597">
        <v>947.65</v>
      </c>
      <c r="K597" t="s">
        <v>37</v>
      </c>
      <c r="L597" t="s">
        <v>29</v>
      </c>
    </row>
    <row r="598" spans="1:12" x14ac:dyDescent="0.3">
      <c r="A598" t="s">
        <v>845</v>
      </c>
      <c r="B598" s="2">
        <v>45984</v>
      </c>
      <c r="C598" t="s">
        <v>750</v>
      </c>
      <c r="D598" t="s">
        <v>61</v>
      </c>
      <c r="E598" t="s">
        <v>62</v>
      </c>
      <c r="F598" t="s">
        <v>23</v>
      </c>
      <c r="G598">
        <v>5</v>
      </c>
      <c r="H598">
        <v>1141.94</v>
      </c>
      <c r="I598">
        <v>0</v>
      </c>
      <c r="J598">
        <v>5709.7</v>
      </c>
      <c r="K598" t="s">
        <v>24</v>
      </c>
      <c r="L598" t="s">
        <v>38</v>
      </c>
    </row>
    <row r="599" spans="1:12" x14ac:dyDescent="0.3">
      <c r="A599" t="s">
        <v>846</v>
      </c>
      <c r="B599" s="2">
        <v>45865</v>
      </c>
      <c r="C599" t="s">
        <v>333</v>
      </c>
      <c r="D599" t="s">
        <v>27</v>
      </c>
      <c r="E599" t="s">
        <v>22</v>
      </c>
      <c r="F599" t="s">
        <v>23</v>
      </c>
      <c r="G599">
        <v>2</v>
      </c>
      <c r="H599">
        <v>5023.6099999999997</v>
      </c>
      <c r="I599">
        <v>0.05</v>
      </c>
      <c r="J599">
        <v>9544.86</v>
      </c>
      <c r="K599" t="s">
        <v>37</v>
      </c>
      <c r="L599" t="s">
        <v>38</v>
      </c>
    </row>
    <row r="600" spans="1:12" x14ac:dyDescent="0.3">
      <c r="A600" t="s">
        <v>847</v>
      </c>
      <c r="B600" s="2">
        <v>45936</v>
      </c>
      <c r="C600" t="s">
        <v>604</v>
      </c>
      <c r="E600" t="s">
        <v>52</v>
      </c>
      <c r="F600" t="s">
        <v>16</v>
      </c>
      <c r="G600">
        <v>3</v>
      </c>
      <c r="H600">
        <v>7770.84</v>
      </c>
      <c r="I600">
        <v>0.1</v>
      </c>
      <c r="J600">
        <v>20981.27</v>
      </c>
      <c r="K600" t="s">
        <v>17</v>
      </c>
      <c r="L600" t="s">
        <v>29</v>
      </c>
    </row>
    <row r="601" spans="1:12" x14ac:dyDescent="0.3">
      <c r="A601" t="s">
        <v>848</v>
      </c>
      <c r="B601" s="2">
        <v>45972</v>
      </c>
      <c r="C601" t="s">
        <v>564</v>
      </c>
      <c r="D601" t="s">
        <v>61</v>
      </c>
      <c r="E601" t="s">
        <v>56</v>
      </c>
      <c r="F601" t="s">
        <v>16</v>
      </c>
      <c r="G601">
        <v>4</v>
      </c>
      <c r="H601">
        <v>26801.040000000001</v>
      </c>
      <c r="I601">
        <v>0</v>
      </c>
      <c r="J601">
        <v>107204.16</v>
      </c>
      <c r="K601" t="s">
        <v>37</v>
      </c>
      <c r="L601" t="s">
        <v>18</v>
      </c>
    </row>
    <row r="602" spans="1:12" x14ac:dyDescent="0.3">
      <c r="A602" t="s">
        <v>849</v>
      </c>
      <c r="B602" s="2">
        <v>45877</v>
      </c>
      <c r="C602" t="s">
        <v>769</v>
      </c>
      <c r="D602" t="s">
        <v>48</v>
      </c>
      <c r="E602" t="s">
        <v>15</v>
      </c>
      <c r="F602" t="s">
        <v>16</v>
      </c>
      <c r="G602">
        <v>2</v>
      </c>
      <c r="H602">
        <v>21642.49</v>
      </c>
      <c r="I602">
        <v>0.05</v>
      </c>
      <c r="J602">
        <v>41120.730000000003</v>
      </c>
      <c r="K602" t="s">
        <v>37</v>
      </c>
      <c r="L602" t="s">
        <v>18</v>
      </c>
    </row>
    <row r="603" spans="1:12" x14ac:dyDescent="0.3">
      <c r="A603" t="s">
        <v>850</v>
      </c>
      <c r="B603" s="2">
        <v>45751</v>
      </c>
      <c r="C603" t="s">
        <v>851</v>
      </c>
      <c r="D603" t="s">
        <v>45</v>
      </c>
      <c r="E603" t="s">
        <v>52</v>
      </c>
      <c r="F603" t="s">
        <v>16</v>
      </c>
      <c r="G603">
        <v>2</v>
      </c>
      <c r="H603">
        <v>7223.05</v>
      </c>
      <c r="I603">
        <v>0.1</v>
      </c>
      <c r="J603">
        <v>13001.49</v>
      </c>
      <c r="K603" t="s">
        <v>37</v>
      </c>
      <c r="L603" t="s">
        <v>18</v>
      </c>
    </row>
    <row r="604" spans="1:12" x14ac:dyDescent="0.3">
      <c r="A604" t="s">
        <v>852</v>
      </c>
      <c r="B604" s="2">
        <v>45832</v>
      </c>
      <c r="C604" t="s">
        <v>64</v>
      </c>
      <c r="D604" t="s">
        <v>21</v>
      </c>
      <c r="E604" t="s">
        <v>28</v>
      </c>
      <c r="F604" t="s">
        <v>16</v>
      </c>
      <c r="G604">
        <v>3</v>
      </c>
      <c r="H604">
        <v>3230.03</v>
      </c>
      <c r="I604">
        <v>0.1</v>
      </c>
      <c r="J604">
        <v>8721.08</v>
      </c>
      <c r="K604" t="s">
        <v>17</v>
      </c>
      <c r="L604" t="s">
        <v>18</v>
      </c>
    </row>
    <row r="605" spans="1:12" x14ac:dyDescent="0.3">
      <c r="A605" t="s">
        <v>853</v>
      </c>
      <c r="B605" s="2">
        <v>45683</v>
      </c>
      <c r="C605" t="s">
        <v>190</v>
      </c>
      <c r="D605" t="s">
        <v>48</v>
      </c>
      <c r="E605" t="s">
        <v>35</v>
      </c>
      <c r="F605" t="s">
        <v>36</v>
      </c>
      <c r="G605">
        <v>2</v>
      </c>
      <c r="H605">
        <v>1736.97</v>
      </c>
      <c r="I605">
        <v>0.15</v>
      </c>
      <c r="J605">
        <v>2952.85</v>
      </c>
      <c r="K605" t="s">
        <v>37</v>
      </c>
      <c r="L605" t="s">
        <v>18</v>
      </c>
    </row>
    <row r="606" spans="1:12" x14ac:dyDescent="0.3">
      <c r="A606" t="s">
        <v>854</v>
      </c>
      <c r="B606" s="2">
        <v>45932</v>
      </c>
      <c r="C606" t="s">
        <v>460</v>
      </c>
      <c r="D606" t="s">
        <v>21</v>
      </c>
      <c r="E606" t="s">
        <v>49</v>
      </c>
      <c r="F606" t="s">
        <v>23</v>
      </c>
      <c r="G606">
        <v>1</v>
      </c>
      <c r="H606">
        <v>6085.16</v>
      </c>
      <c r="I606">
        <v>0.2</v>
      </c>
      <c r="J606">
        <v>4868.13</v>
      </c>
      <c r="K606" t="s">
        <v>17</v>
      </c>
      <c r="L606" t="s">
        <v>18</v>
      </c>
    </row>
    <row r="607" spans="1:12" x14ac:dyDescent="0.3">
      <c r="A607" t="s">
        <v>855</v>
      </c>
      <c r="B607" s="2">
        <v>45783</v>
      </c>
      <c r="C607" t="s">
        <v>644</v>
      </c>
      <c r="D607" t="s">
        <v>45</v>
      </c>
      <c r="E607" t="s">
        <v>84</v>
      </c>
      <c r="F607" t="s">
        <v>42</v>
      </c>
      <c r="G607">
        <v>1</v>
      </c>
      <c r="H607">
        <v>2558.0700000000002</v>
      </c>
      <c r="I607">
        <v>0.05</v>
      </c>
      <c r="J607">
        <v>2430.17</v>
      </c>
      <c r="K607" t="s">
        <v>24</v>
      </c>
      <c r="L607" t="s">
        <v>38</v>
      </c>
    </row>
    <row r="608" spans="1:12" x14ac:dyDescent="0.3">
      <c r="A608" t="s">
        <v>856</v>
      </c>
      <c r="B608" s="2">
        <v>45967</v>
      </c>
      <c r="C608" t="s">
        <v>347</v>
      </c>
      <c r="D608" t="s">
        <v>21</v>
      </c>
      <c r="E608" t="s">
        <v>35</v>
      </c>
      <c r="F608" t="s">
        <v>36</v>
      </c>
      <c r="G608">
        <v>1</v>
      </c>
      <c r="H608">
        <v>1842.7</v>
      </c>
      <c r="I608">
        <v>0.1</v>
      </c>
      <c r="J608">
        <v>1658.43</v>
      </c>
      <c r="K608" t="s">
        <v>32</v>
      </c>
      <c r="L608" t="s">
        <v>29</v>
      </c>
    </row>
    <row r="609" spans="1:12" x14ac:dyDescent="0.3">
      <c r="A609" t="s">
        <v>857</v>
      </c>
      <c r="B609" s="2">
        <v>45939</v>
      </c>
      <c r="C609" t="s">
        <v>175</v>
      </c>
      <c r="D609" t="s">
        <v>27</v>
      </c>
      <c r="E609" t="s">
        <v>52</v>
      </c>
      <c r="F609" t="s">
        <v>16</v>
      </c>
      <c r="G609">
        <v>1</v>
      </c>
      <c r="H609">
        <v>7607.68</v>
      </c>
      <c r="I609">
        <v>0.1</v>
      </c>
      <c r="J609">
        <v>6846.91</v>
      </c>
      <c r="K609" t="s">
        <v>37</v>
      </c>
      <c r="L609" t="s">
        <v>18</v>
      </c>
    </row>
    <row r="610" spans="1:12" x14ac:dyDescent="0.3">
      <c r="A610" t="s">
        <v>858</v>
      </c>
      <c r="B610" s="2">
        <v>45815</v>
      </c>
      <c r="C610" t="s">
        <v>393</v>
      </c>
      <c r="D610" t="s">
        <v>14</v>
      </c>
      <c r="E610" t="s">
        <v>15</v>
      </c>
      <c r="F610" t="s">
        <v>16</v>
      </c>
      <c r="G610">
        <v>2</v>
      </c>
      <c r="H610">
        <v>20657.240000000002</v>
      </c>
      <c r="I610">
        <v>0.05</v>
      </c>
      <c r="J610">
        <v>39248.76</v>
      </c>
      <c r="K610" t="s">
        <v>24</v>
      </c>
      <c r="L610" t="s">
        <v>29</v>
      </c>
    </row>
    <row r="611" spans="1:12" x14ac:dyDescent="0.3">
      <c r="A611" t="s">
        <v>859</v>
      </c>
      <c r="B611" s="2">
        <v>45745</v>
      </c>
      <c r="C611" t="s">
        <v>281</v>
      </c>
      <c r="D611" t="s">
        <v>61</v>
      </c>
      <c r="E611" t="s">
        <v>28</v>
      </c>
      <c r="F611" t="s">
        <v>16</v>
      </c>
      <c r="G611">
        <v>1</v>
      </c>
      <c r="H611">
        <v>3244.98</v>
      </c>
      <c r="I611">
        <v>0.05</v>
      </c>
      <c r="J611">
        <v>3082.73</v>
      </c>
      <c r="K611" t="s">
        <v>32</v>
      </c>
      <c r="L611" t="s">
        <v>18</v>
      </c>
    </row>
    <row r="612" spans="1:12" x14ac:dyDescent="0.3">
      <c r="A612" t="s">
        <v>860</v>
      </c>
      <c r="B612" s="2">
        <v>45902</v>
      </c>
      <c r="C612" t="s">
        <v>97</v>
      </c>
      <c r="D612" t="s">
        <v>27</v>
      </c>
      <c r="E612" t="s">
        <v>49</v>
      </c>
      <c r="F612" t="s">
        <v>23</v>
      </c>
      <c r="G612">
        <v>1</v>
      </c>
      <c r="H612">
        <v>6279.73</v>
      </c>
      <c r="I612">
        <v>0.1</v>
      </c>
      <c r="J612">
        <v>5651.76</v>
      </c>
      <c r="K612" t="s">
        <v>17</v>
      </c>
      <c r="L612" t="s">
        <v>18</v>
      </c>
    </row>
    <row r="613" spans="1:12" x14ac:dyDescent="0.3">
      <c r="A613" t="s">
        <v>861</v>
      </c>
      <c r="B613" s="2">
        <v>45903</v>
      </c>
      <c r="C613" t="s">
        <v>331</v>
      </c>
      <c r="D613" t="s">
        <v>21</v>
      </c>
      <c r="E613" t="s">
        <v>62</v>
      </c>
      <c r="F613" t="s">
        <v>23</v>
      </c>
      <c r="G613">
        <v>1</v>
      </c>
      <c r="H613">
        <v>1156.1500000000001</v>
      </c>
      <c r="I613">
        <v>0.05</v>
      </c>
      <c r="J613">
        <v>1098.3399999999999</v>
      </c>
      <c r="K613" t="s">
        <v>37</v>
      </c>
      <c r="L613" t="s">
        <v>29</v>
      </c>
    </row>
    <row r="614" spans="1:12" x14ac:dyDescent="0.3">
      <c r="A614" t="s">
        <v>862</v>
      </c>
      <c r="B614" s="2">
        <v>45695</v>
      </c>
      <c r="C614" t="s">
        <v>264</v>
      </c>
      <c r="D614" t="s">
        <v>45</v>
      </c>
      <c r="E614" t="s">
        <v>28</v>
      </c>
      <c r="F614" t="s">
        <v>16</v>
      </c>
      <c r="G614">
        <v>1</v>
      </c>
      <c r="H614">
        <v>3461.13</v>
      </c>
      <c r="I614">
        <v>0.05</v>
      </c>
      <c r="J614">
        <v>3288.07</v>
      </c>
      <c r="K614" t="s">
        <v>17</v>
      </c>
      <c r="L614" t="s">
        <v>29</v>
      </c>
    </row>
    <row r="615" spans="1:12" x14ac:dyDescent="0.3">
      <c r="A615" t="s">
        <v>863</v>
      </c>
      <c r="B615" s="2">
        <v>45803</v>
      </c>
      <c r="C615" t="s">
        <v>194</v>
      </c>
      <c r="D615" t="s">
        <v>27</v>
      </c>
      <c r="E615" t="s">
        <v>52</v>
      </c>
      <c r="F615" t="s">
        <v>16</v>
      </c>
      <c r="G615">
        <v>1</v>
      </c>
      <c r="H615">
        <v>6887.13</v>
      </c>
      <c r="I615">
        <v>0.05</v>
      </c>
      <c r="J615">
        <v>6542.77</v>
      </c>
      <c r="K615" t="s">
        <v>32</v>
      </c>
      <c r="L615" t="s">
        <v>18</v>
      </c>
    </row>
    <row r="616" spans="1:12" x14ac:dyDescent="0.3">
      <c r="A616" t="s">
        <v>864</v>
      </c>
      <c r="B616" s="2">
        <v>45783</v>
      </c>
      <c r="C616" t="s">
        <v>26</v>
      </c>
      <c r="D616" t="s">
        <v>109</v>
      </c>
      <c r="E616" t="s">
        <v>62</v>
      </c>
      <c r="F616" t="s">
        <v>23</v>
      </c>
      <c r="G616">
        <v>3</v>
      </c>
      <c r="H616">
        <v>1085.42</v>
      </c>
      <c r="I616">
        <v>0</v>
      </c>
      <c r="J616">
        <v>3256.26</v>
      </c>
      <c r="K616" t="s">
        <v>37</v>
      </c>
      <c r="L616" t="s">
        <v>38</v>
      </c>
    </row>
    <row r="617" spans="1:12" x14ac:dyDescent="0.3">
      <c r="A617" t="s">
        <v>865</v>
      </c>
      <c r="B617" s="2">
        <v>45993</v>
      </c>
      <c r="C617" t="s">
        <v>106</v>
      </c>
      <c r="D617" t="s">
        <v>61</v>
      </c>
      <c r="E617" t="s">
        <v>49</v>
      </c>
      <c r="F617" t="s">
        <v>23</v>
      </c>
      <c r="G617">
        <v>2</v>
      </c>
      <c r="H617">
        <v>6593.76</v>
      </c>
      <c r="I617">
        <v>0.15</v>
      </c>
      <c r="J617">
        <v>11209.39</v>
      </c>
      <c r="K617" t="s">
        <v>24</v>
      </c>
      <c r="L617" t="s">
        <v>18</v>
      </c>
    </row>
    <row r="618" spans="1:12" x14ac:dyDescent="0.3">
      <c r="A618" t="s">
        <v>866</v>
      </c>
      <c r="B618" s="2">
        <v>45705</v>
      </c>
      <c r="C618" t="s">
        <v>293</v>
      </c>
      <c r="D618" t="s">
        <v>61</v>
      </c>
      <c r="E618" t="s">
        <v>62</v>
      </c>
      <c r="F618" t="s">
        <v>23</v>
      </c>
      <c r="G618">
        <v>2</v>
      </c>
      <c r="H618">
        <v>1227.7</v>
      </c>
      <c r="I618">
        <v>0.05</v>
      </c>
      <c r="J618">
        <v>2332.63</v>
      </c>
      <c r="K618" t="s">
        <v>24</v>
      </c>
      <c r="L618" t="s">
        <v>29</v>
      </c>
    </row>
    <row r="619" spans="1:12" x14ac:dyDescent="0.3">
      <c r="A619" t="s">
        <v>867</v>
      </c>
      <c r="B619" s="2">
        <v>45672</v>
      </c>
      <c r="C619" t="s">
        <v>423</v>
      </c>
      <c r="D619" t="s">
        <v>61</v>
      </c>
      <c r="E619" t="s">
        <v>84</v>
      </c>
      <c r="F619" t="s">
        <v>42</v>
      </c>
      <c r="G619">
        <v>2</v>
      </c>
      <c r="H619">
        <v>2721.81</v>
      </c>
      <c r="I619">
        <v>0</v>
      </c>
      <c r="J619">
        <v>5443.62</v>
      </c>
      <c r="K619" t="s">
        <v>32</v>
      </c>
      <c r="L619" t="s">
        <v>29</v>
      </c>
    </row>
    <row r="620" spans="1:12" x14ac:dyDescent="0.3">
      <c r="A620" t="s">
        <v>868</v>
      </c>
      <c r="B620" s="2">
        <v>45965</v>
      </c>
      <c r="C620" t="s">
        <v>542</v>
      </c>
      <c r="D620" t="s">
        <v>61</v>
      </c>
      <c r="E620" t="s">
        <v>41</v>
      </c>
      <c r="F620" t="s">
        <v>42</v>
      </c>
      <c r="G620">
        <v>4</v>
      </c>
      <c r="H620">
        <v>1489.21</v>
      </c>
      <c r="I620">
        <v>0</v>
      </c>
      <c r="J620">
        <v>5956.84</v>
      </c>
      <c r="K620" t="s">
        <v>37</v>
      </c>
      <c r="L620" t="s">
        <v>29</v>
      </c>
    </row>
    <row r="621" spans="1:12" x14ac:dyDescent="0.3">
      <c r="A621" t="s">
        <v>869</v>
      </c>
      <c r="B621" s="2">
        <v>45987</v>
      </c>
      <c r="C621" t="s">
        <v>120</v>
      </c>
      <c r="D621" t="s">
        <v>61</v>
      </c>
      <c r="E621" t="s">
        <v>35</v>
      </c>
      <c r="F621" t="s">
        <v>36</v>
      </c>
      <c r="G621">
        <v>2</v>
      </c>
      <c r="H621">
        <v>1978.9</v>
      </c>
      <c r="I621">
        <v>0.15</v>
      </c>
      <c r="J621">
        <v>3364.13</v>
      </c>
      <c r="K621" t="s">
        <v>37</v>
      </c>
      <c r="L621" t="s">
        <v>38</v>
      </c>
    </row>
    <row r="622" spans="1:12" x14ac:dyDescent="0.3">
      <c r="A622" t="s">
        <v>870</v>
      </c>
      <c r="B622" s="2">
        <v>45756</v>
      </c>
      <c r="C622" t="s">
        <v>871</v>
      </c>
      <c r="D622" t="s">
        <v>45</v>
      </c>
      <c r="E622" t="s">
        <v>56</v>
      </c>
      <c r="F622" t="s">
        <v>16</v>
      </c>
      <c r="G622">
        <v>1</v>
      </c>
      <c r="H622">
        <v>26634.67</v>
      </c>
      <c r="I622">
        <v>0.15</v>
      </c>
      <c r="J622">
        <v>22639.47</v>
      </c>
      <c r="K622" t="s">
        <v>32</v>
      </c>
      <c r="L622" t="s">
        <v>18</v>
      </c>
    </row>
    <row r="623" spans="1:12" x14ac:dyDescent="0.3">
      <c r="A623" t="s">
        <v>872</v>
      </c>
      <c r="B623" s="2">
        <v>45787</v>
      </c>
      <c r="C623" t="s">
        <v>308</v>
      </c>
      <c r="D623" t="s">
        <v>21</v>
      </c>
      <c r="E623" t="s">
        <v>84</v>
      </c>
      <c r="F623" t="s">
        <v>42</v>
      </c>
      <c r="G623">
        <v>1</v>
      </c>
      <c r="H623">
        <v>2945.6</v>
      </c>
      <c r="I623">
        <v>0.1</v>
      </c>
      <c r="J623">
        <v>2651.04</v>
      </c>
      <c r="K623" t="s">
        <v>17</v>
      </c>
      <c r="L623" t="s">
        <v>29</v>
      </c>
    </row>
    <row r="624" spans="1:12" x14ac:dyDescent="0.3">
      <c r="A624" t="s">
        <v>873</v>
      </c>
      <c r="B624" s="2">
        <v>45854</v>
      </c>
      <c r="C624" t="s">
        <v>26</v>
      </c>
      <c r="D624" t="s">
        <v>61</v>
      </c>
      <c r="E624" t="s">
        <v>41</v>
      </c>
      <c r="F624" t="s">
        <v>42</v>
      </c>
      <c r="G624">
        <v>1</v>
      </c>
      <c r="H624">
        <v>1559.66</v>
      </c>
      <c r="I624">
        <v>0.05</v>
      </c>
      <c r="J624">
        <v>1481.68</v>
      </c>
      <c r="K624" t="s">
        <v>24</v>
      </c>
      <c r="L624" t="s">
        <v>18</v>
      </c>
    </row>
    <row r="625" spans="1:12" x14ac:dyDescent="0.3">
      <c r="A625" t="s">
        <v>874</v>
      </c>
      <c r="B625" s="2">
        <v>45877</v>
      </c>
      <c r="C625" t="s">
        <v>179</v>
      </c>
      <c r="D625" t="s">
        <v>61</v>
      </c>
      <c r="E625" t="s">
        <v>56</v>
      </c>
      <c r="F625" t="s">
        <v>16</v>
      </c>
      <c r="G625">
        <v>1</v>
      </c>
      <c r="H625">
        <v>27597.83</v>
      </c>
      <c r="I625">
        <v>0.2</v>
      </c>
      <c r="J625">
        <v>22078.26</v>
      </c>
      <c r="K625" t="s">
        <v>24</v>
      </c>
      <c r="L625" t="s">
        <v>18</v>
      </c>
    </row>
    <row r="626" spans="1:12" x14ac:dyDescent="0.3">
      <c r="A626" t="s">
        <v>875</v>
      </c>
      <c r="B626" s="2">
        <v>45871</v>
      </c>
      <c r="C626" t="s">
        <v>310</v>
      </c>
      <c r="D626" t="s">
        <v>21</v>
      </c>
      <c r="E626" t="s">
        <v>28</v>
      </c>
      <c r="F626" t="s">
        <v>16</v>
      </c>
      <c r="G626">
        <v>1</v>
      </c>
      <c r="H626">
        <v>3287.08</v>
      </c>
      <c r="I626">
        <v>0</v>
      </c>
      <c r="J626">
        <v>3287.08</v>
      </c>
      <c r="K626" t="s">
        <v>17</v>
      </c>
      <c r="L626" t="s">
        <v>18</v>
      </c>
    </row>
    <row r="627" spans="1:12" x14ac:dyDescent="0.3">
      <c r="A627" t="s">
        <v>876</v>
      </c>
      <c r="B627" s="2">
        <v>45692</v>
      </c>
      <c r="C627" t="s">
        <v>182</v>
      </c>
      <c r="D627" t="s">
        <v>48</v>
      </c>
      <c r="E627" t="s">
        <v>52</v>
      </c>
      <c r="F627" t="s">
        <v>16</v>
      </c>
      <c r="G627">
        <v>3</v>
      </c>
      <c r="H627">
        <v>7942.59</v>
      </c>
      <c r="I627">
        <v>0.15</v>
      </c>
      <c r="J627">
        <v>20253.599999999999</v>
      </c>
      <c r="K627" t="s">
        <v>37</v>
      </c>
      <c r="L627" t="s">
        <v>29</v>
      </c>
    </row>
    <row r="628" spans="1:12" x14ac:dyDescent="0.3">
      <c r="A628" t="s">
        <v>877</v>
      </c>
      <c r="B628" s="2">
        <v>45889</v>
      </c>
      <c r="C628" t="s">
        <v>206</v>
      </c>
      <c r="D628" t="s">
        <v>109</v>
      </c>
      <c r="E628" t="s">
        <v>35</v>
      </c>
      <c r="F628" t="s">
        <v>36</v>
      </c>
      <c r="G628">
        <v>1</v>
      </c>
      <c r="H628">
        <v>1945.17</v>
      </c>
      <c r="I628">
        <v>0.1</v>
      </c>
      <c r="J628">
        <v>1750.65</v>
      </c>
      <c r="K628" t="s">
        <v>32</v>
      </c>
      <c r="L628" t="s">
        <v>29</v>
      </c>
    </row>
    <row r="629" spans="1:12" x14ac:dyDescent="0.3">
      <c r="A629" t="s">
        <v>878</v>
      </c>
      <c r="B629" s="2">
        <v>45667</v>
      </c>
      <c r="C629" t="s">
        <v>125</v>
      </c>
      <c r="D629" t="s">
        <v>21</v>
      </c>
      <c r="E629" t="s">
        <v>62</v>
      </c>
      <c r="F629" t="s">
        <v>23</v>
      </c>
      <c r="G629">
        <v>2</v>
      </c>
      <c r="H629">
        <v>1289.1199999999999</v>
      </c>
      <c r="I629">
        <v>0.15</v>
      </c>
      <c r="J629">
        <v>2191.5</v>
      </c>
      <c r="K629" t="s">
        <v>37</v>
      </c>
      <c r="L629" t="s">
        <v>38</v>
      </c>
    </row>
    <row r="630" spans="1:12" x14ac:dyDescent="0.3">
      <c r="A630" t="s">
        <v>879</v>
      </c>
      <c r="B630" s="2">
        <v>45831</v>
      </c>
      <c r="C630" t="s">
        <v>388</v>
      </c>
      <c r="D630" t="s">
        <v>14</v>
      </c>
      <c r="E630" t="s">
        <v>56</v>
      </c>
      <c r="F630" t="s">
        <v>16</v>
      </c>
      <c r="G630">
        <v>3</v>
      </c>
      <c r="H630">
        <v>25501.119999999999</v>
      </c>
      <c r="I630">
        <v>0</v>
      </c>
      <c r="J630">
        <v>76503.360000000001</v>
      </c>
      <c r="K630" t="s">
        <v>24</v>
      </c>
      <c r="L630" t="s">
        <v>18</v>
      </c>
    </row>
    <row r="631" spans="1:12" x14ac:dyDescent="0.3">
      <c r="A631" t="s">
        <v>880</v>
      </c>
      <c r="B631" s="2">
        <v>45747</v>
      </c>
      <c r="C631" t="s">
        <v>698</v>
      </c>
      <c r="D631" t="s">
        <v>45</v>
      </c>
      <c r="E631" t="s">
        <v>15</v>
      </c>
      <c r="F631" t="s">
        <v>16</v>
      </c>
      <c r="G631">
        <v>1</v>
      </c>
      <c r="H631">
        <v>18921.59</v>
      </c>
      <c r="I631">
        <v>0</v>
      </c>
      <c r="J631">
        <v>18921.59</v>
      </c>
      <c r="K631" t="s">
        <v>24</v>
      </c>
      <c r="L631" t="s">
        <v>29</v>
      </c>
    </row>
    <row r="632" spans="1:12" x14ac:dyDescent="0.3">
      <c r="A632" t="s">
        <v>881</v>
      </c>
      <c r="B632" s="2">
        <v>45716</v>
      </c>
      <c r="C632" t="s">
        <v>617</v>
      </c>
      <c r="D632" t="s">
        <v>27</v>
      </c>
      <c r="E632" t="s">
        <v>84</v>
      </c>
      <c r="F632" t="s">
        <v>42</v>
      </c>
      <c r="G632">
        <v>3</v>
      </c>
      <c r="H632">
        <v>2695.23</v>
      </c>
      <c r="I632">
        <v>0.15</v>
      </c>
      <c r="J632">
        <v>6872.84</v>
      </c>
      <c r="K632" t="s">
        <v>37</v>
      </c>
      <c r="L632" t="s">
        <v>29</v>
      </c>
    </row>
    <row r="633" spans="1:12" x14ac:dyDescent="0.3">
      <c r="A633" t="s">
        <v>882</v>
      </c>
      <c r="B633" s="2">
        <v>45903</v>
      </c>
      <c r="C633" t="s">
        <v>106</v>
      </c>
      <c r="D633" t="s">
        <v>61</v>
      </c>
      <c r="E633" t="s">
        <v>84</v>
      </c>
      <c r="F633" t="s">
        <v>42</v>
      </c>
      <c r="G633">
        <v>2</v>
      </c>
      <c r="H633">
        <v>3008.9</v>
      </c>
      <c r="I633">
        <v>0</v>
      </c>
      <c r="J633">
        <v>6017.8</v>
      </c>
      <c r="K633" t="s">
        <v>17</v>
      </c>
      <c r="L633" t="s">
        <v>38</v>
      </c>
    </row>
    <row r="634" spans="1:12" x14ac:dyDescent="0.3">
      <c r="A634" t="s">
        <v>883</v>
      </c>
      <c r="B634" s="2">
        <v>45955</v>
      </c>
      <c r="C634" t="s">
        <v>331</v>
      </c>
      <c r="D634" t="s">
        <v>27</v>
      </c>
      <c r="E634" t="s">
        <v>28</v>
      </c>
      <c r="F634" t="s">
        <v>16</v>
      </c>
      <c r="G634">
        <v>1</v>
      </c>
      <c r="H634">
        <v>3405.15</v>
      </c>
      <c r="I634">
        <v>0</v>
      </c>
      <c r="J634">
        <v>3405.15</v>
      </c>
      <c r="K634" t="s">
        <v>24</v>
      </c>
      <c r="L634" t="s">
        <v>18</v>
      </c>
    </row>
    <row r="635" spans="1:12" x14ac:dyDescent="0.3">
      <c r="A635" t="s">
        <v>884</v>
      </c>
      <c r="B635" s="2">
        <v>45705</v>
      </c>
      <c r="C635" t="s">
        <v>192</v>
      </c>
      <c r="D635" t="s">
        <v>21</v>
      </c>
      <c r="E635" t="s">
        <v>35</v>
      </c>
      <c r="F635" t="s">
        <v>36</v>
      </c>
      <c r="G635">
        <v>1</v>
      </c>
      <c r="H635">
        <v>1905.5</v>
      </c>
      <c r="I635">
        <v>0.05</v>
      </c>
      <c r="J635">
        <v>1810.22</v>
      </c>
      <c r="K635" t="s">
        <v>17</v>
      </c>
      <c r="L635" t="s">
        <v>18</v>
      </c>
    </row>
    <row r="636" spans="1:12" x14ac:dyDescent="0.3">
      <c r="A636" t="s">
        <v>885</v>
      </c>
      <c r="B636" s="2">
        <v>45930</v>
      </c>
      <c r="C636" t="s">
        <v>380</v>
      </c>
      <c r="D636" t="s">
        <v>21</v>
      </c>
      <c r="E636" t="s">
        <v>41</v>
      </c>
      <c r="F636" t="s">
        <v>42</v>
      </c>
      <c r="G636">
        <v>2</v>
      </c>
      <c r="H636">
        <v>1556.15</v>
      </c>
      <c r="I636">
        <v>0.1</v>
      </c>
      <c r="J636">
        <v>2801.07</v>
      </c>
      <c r="K636" t="s">
        <v>17</v>
      </c>
      <c r="L636" t="s">
        <v>29</v>
      </c>
    </row>
    <row r="637" spans="1:12" x14ac:dyDescent="0.3">
      <c r="A637" t="s">
        <v>886</v>
      </c>
      <c r="B637" s="2">
        <v>45707</v>
      </c>
      <c r="C637" t="s">
        <v>606</v>
      </c>
      <c r="D637" t="s">
        <v>61</v>
      </c>
      <c r="E637" t="s">
        <v>15</v>
      </c>
      <c r="F637" t="s">
        <v>16</v>
      </c>
      <c r="G637">
        <v>1</v>
      </c>
      <c r="H637">
        <v>20369.14</v>
      </c>
      <c r="I637">
        <v>0</v>
      </c>
      <c r="J637">
        <v>20369.14</v>
      </c>
      <c r="K637" t="s">
        <v>32</v>
      </c>
      <c r="L637" t="s">
        <v>29</v>
      </c>
    </row>
    <row r="638" spans="1:12" x14ac:dyDescent="0.3">
      <c r="A638" t="s">
        <v>887</v>
      </c>
      <c r="B638" s="2">
        <v>45846</v>
      </c>
      <c r="C638" t="s">
        <v>155</v>
      </c>
      <c r="D638" t="s">
        <v>48</v>
      </c>
      <c r="E638" t="s">
        <v>35</v>
      </c>
      <c r="F638" t="s">
        <v>36</v>
      </c>
      <c r="G638">
        <v>3</v>
      </c>
      <c r="H638">
        <v>1971.93</v>
      </c>
      <c r="I638">
        <v>0</v>
      </c>
      <c r="J638">
        <v>5915.79</v>
      </c>
      <c r="K638" t="s">
        <v>32</v>
      </c>
      <c r="L638" t="s">
        <v>18</v>
      </c>
    </row>
    <row r="639" spans="1:12" x14ac:dyDescent="0.3">
      <c r="A639" t="s">
        <v>888</v>
      </c>
      <c r="B639" s="2">
        <v>45755</v>
      </c>
      <c r="C639" t="s">
        <v>460</v>
      </c>
      <c r="D639" t="s">
        <v>48</v>
      </c>
      <c r="E639" t="s">
        <v>52</v>
      </c>
      <c r="F639" t="s">
        <v>16</v>
      </c>
      <c r="G639">
        <v>1</v>
      </c>
      <c r="H639">
        <v>7266.14</v>
      </c>
      <c r="I639">
        <v>0.05</v>
      </c>
      <c r="J639">
        <v>6902.83</v>
      </c>
      <c r="K639" t="s">
        <v>17</v>
      </c>
      <c r="L639" t="s">
        <v>38</v>
      </c>
    </row>
    <row r="640" spans="1:12" x14ac:dyDescent="0.3">
      <c r="A640" t="s">
        <v>889</v>
      </c>
      <c r="B640" s="2">
        <v>45967</v>
      </c>
      <c r="C640" t="s">
        <v>77</v>
      </c>
      <c r="D640" t="s">
        <v>27</v>
      </c>
      <c r="E640" t="s">
        <v>62</v>
      </c>
      <c r="F640" t="s">
        <v>23</v>
      </c>
      <c r="G640">
        <v>2</v>
      </c>
      <c r="H640">
        <v>1315.86</v>
      </c>
      <c r="I640">
        <v>0</v>
      </c>
      <c r="J640">
        <v>2631.72</v>
      </c>
      <c r="K640" t="s">
        <v>37</v>
      </c>
      <c r="L640" t="s">
        <v>29</v>
      </c>
    </row>
    <row r="641" spans="1:12" x14ac:dyDescent="0.3">
      <c r="A641" t="s">
        <v>890</v>
      </c>
      <c r="B641" s="2">
        <v>45948</v>
      </c>
      <c r="C641" t="s">
        <v>279</v>
      </c>
      <c r="D641" t="s">
        <v>109</v>
      </c>
      <c r="E641" t="s">
        <v>35</v>
      </c>
      <c r="F641" t="s">
        <v>36</v>
      </c>
      <c r="G641">
        <v>1</v>
      </c>
      <c r="H641">
        <v>1902.62</v>
      </c>
      <c r="I641">
        <v>0.05</v>
      </c>
      <c r="J641">
        <v>1807.49</v>
      </c>
      <c r="K641" t="s">
        <v>24</v>
      </c>
      <c r="L641" t="s">
        <v>29</v>
      </c>
    </row>
    <row r="642" spans="1:12" x14ac:dyDescent="0.3">
      <c r="A642" t="s">
        <v>891</v>
      </c>
      <c r="B642" s="2">
        <v>46007</v>
      </c>
      <c r="C642" t="s">
        <v>264</v>
      </c>
      <c r="D642" t="s">
        <v>27</v>
      </c>
      <c r="E642" t="s">
        <v>28</v>
      </c>
      <c r="F642" t="s">
        <v>16</v>
      </c>
      <c r="G642">
        <v>1</v>
      </c>
      <c r="H642">
        <v>3475.73</v>
      </c>
      <c r="I642">
        <v>0</v>
      </c>
      <c r="J642">
        <v>3475.73</v>
      </c>
      <c r="K642" t="s">
        <v>17</v>
      </c>
      <c r="L642" t="s">
        <v>38</v>
      </c>
    </row>
    <row r="643" spans="1:12" x14ac:dyDescent="0.3">
      <c r="A643" t="s">
        <v>892</v>
      </c>
      <c r="B643" s="2">
        <v>45858</v>
      </c>
      <c r="C643" t="s">
        <v>615</v>
      </c>
      <c r="D643" t="s">
        <v>109</v>
      </c>
      <c r="E643" t="s">
        <v>28</v>
      </c>
      <c r="F643" t="s">
        <v>16</v>
      </c>
      <c r="G643">
        <v>1</v>
      </c>
      <c r="H643">
        <v>3245.29</v>
      </c>
      <c r="I643">
        <v>0.05</v>
      </c>
      <c r="J643">
        <v>3083.03</v>
      </c>
      <c r="K643" t="s">
        <v>37</v>
      </c>
      <c r="L643" t="s">
        <v>18</v>
      </c>
    </row>
    <row r="644" spans="1:12" x14ac:dyDescent="0.3">
      <c r="A644" t="s">
        <v>893</v>
      </c>
      <c r="B644" s="2">
        <v>45814</v>
      </c>
      <c r="C644" t="s">
        <v>413</v>
      </c>
      <c r="D644" t="s">
        <v>14</v>
      </c>
      <c r="E644" t="s">
        <v>62</v>
      </c>
      <c r="F644" t="s">
        <v>23</v>
      </c>
      <c r="G644">
        <v>2</v>
      </c>
      <c r="H644">
        <v>1277.33</v>
      </c>
      <c r="I644">
        <v>0</v>
      </c>
      <c r="J644">
        <v>2554.66</v>
      </c>
      <c r="K644" t="s">
        <v>24</v>
      </c>
      <c r="L644" t="s">
        <v>38</v>
      </c>
    </row>
    <row r="645" spans="1:12" x14ac:dyDescent="0.3">
      <c r="A645" t="s">
        <v>894</v>
      </c>
      <c r="B645" s="2">
        <v>45782</v>
      </c>
      <c r="C645" t="s">
        <v>460</v>
      </c>
      <c r="D645" t="s">
        <v>14</v>
      </c>
      <c r="E645" t="s">
        <v>84</v>
      </c>
      <c r="F645" t="s">
        <v>42</v>
      </c>
      <c r="G645">
        <v>1</v>
      </c>
      <c r="H645">
        <v>2692.31</v>
      </c>
      <c r="I645">
        <v>0.1</v>
      </c>
      <c r="J645">
        <v>2423.08</v>
      </c>
      <c r="K645" t="s">
        <v>17</v>
      </c>
      <c r="L645" t="s">
        <v>29</v>
      </c>
    </row>
    <row r="646" spans="1:12" x14ac:dyDescent="0.3">
      <c r="A646" t="s">
        <v>895</v>
      </c>
      <c r="B646" s="2">
        <v>45975</v>
      </c>
      <c r="C646" t="s">
        <v>326</v>
      </c>
      <c r="D646" t="s">
        <v>109</v>
      </c>
      <c r="E646" t="s">
        <v>84</v>
      </c>
      <c r="F646" t="s">
        <v>42</v>
      </c>
      <c r="G646">
        <v>1</v>
      </c>
      <c r="H646">
        <v>3033.99</v>
      </c>
      <c r="I646">
        <v>0.1</v>
      </c>
      <c r="J646">
        <v>2730.59</v>
      </c>
      <c r="K646" t="s">
        <v>17</v>
      </c>
      <c r="L646" t="s">
        <v>29</v>
      </c>
    </row>
    <row r="647" spans="1:12" x14ac:dyDescent="0.3">
      <c r="A647" t="s">
        <v>896</v>
      </c>
      <c r="B647" s="2">
        <v>45770</v>
      </c>
      <c r="C647" t="s">
        <v>604</v>
      </c>
      <c r="D647" t="s">
        <v>61</v>
      </c>
      <c r="E647" t="s">
        <v>15</v>
      </c>
      <c r="F647" t="s">
        <v>16</v>
      </c>
      <c r="G647">
        <v>2</v>
      </c>
      <c r="H647">
        <v>20799.25</v>
      </c>
      <c r="I647">
        <v>0</v>
      </c>
      <c r="J647">
        <v>41598.5</v>
      </c>
      <c r="K647" t="s">
        <v>37</v>
      </c>
      <c r="L647" t="s">
        <v>18</v>
      </c>
    </row>
    <row r="648" spans="1:12" x14ac:dyDescent="0.3">
      <c r="A648" t="s">
        <v>897</v>
      </c>
      <c r="B648" s="2">
        <v>45971</v>
      </c>
      <c r="C648" t="s">
        <v>318</v>
      </c>
      <c r="D648" t="s">
        <v>14</v>
      </c>
      <c r="E648" t="s">
        <v>22</v>
      </c>
      <c r="F648" t="s">
        <v>23</v>
      </c>
      <c r="G648">
        <v>3</v>
      </c>
      <c r="H648">
        <v>5489.17</v>
      </c>
      <c r="I648">
        <v>0</v>
      </c>
      <c r="J648">
        <v>16467.509999999998</v>
      </c>
      <c r="K648" t="s">
        <v>17</v>
      </c>
      <c r="L648" t="s">
        <v>18</v>
      </c>
    </row>
    <row r="649" spans="1:12" x14ac:dyDescent="0.3">
      <c r="A649" t="s">
        <v>898</v>
      </c>
      <c r="B649" s="2">
        <v>45962</v>
      </c>
      <c r="C649" t="s">
        <v>899</v>
      </c>
      <c r="D649" t="s">
        <v>109</v>
      </c>
      <c r="E649" t="s">
        <v>52</v>
      </c>
      <c r="F649" t="s">
        <v>16</v>
      </c>
      <c r="G649">
        <v>2</v>
      </c>
      <c r="H649">
        <v>7557.59</v>
      </c>
      <c r="I649">
        <v>0</v>
      </c>
      <c r="J649">
        <v>15115.18</v>
      </c>
      <c r="K649" t="s">
        <v>17</v>
      </c>
      <c r="L649" t="s">
        <v>18</v>
      </c>
    </row>
    <row r="650" spans="1:12" x14ac:dyDescent="0.3">
      <c r="A650" t="s">
        <v>900</v>
      </c>
      <c r="B650" s="2">
        <v>45841</v>
      </c>
      <c r="C650" t="s">
        <v>206</v>
      </c>
      <c r="D650" t="s">
        <v>48</v>
      </c>
      <c r="E650" t="s">
        <v>62</v>
      </c>
      <c r="F650" t="s">
        <v>23</v>
      </c>
      <c r="G650">
        <v>3</v>
      </c>
      <c r="H650">
        <v>1308.97</v>
      </c>
      <c r="I650">
        <v>0</v>
      </c>
      <c r="J650">
        <v>3926.91</v>
      </c>
      <c r="K650" t="s">
        <v>32</v>
      </c>
      <c r="L650" t="s">
        <v>38</v>
      </c>
    </row>
    <row r="651" spans="1:12" x14ac:dyDescent="0.3">
      <c r="A651" t="s">
        <v>901</v>
      </c>
      <c r="B651" s="2">
        <v>45740</v>
      </c>
      <c r="C651" t="s">
        <v>198</v>
      </c>
      <c r="D651" t="s">
        <v>61</v>
      </c>
      <c r="E651" t="s">
        <v>56</v>
      </c>
      <c r="F651" t="s">
        <v>16</v>
      </c>
      <c r="G651">
        <v>5</v>
      </c>
      <c r="H651">
        <v>25967.32</v>
      </c>
      <c r="I651">
        <v>0.2</v>
      </c>
      <c r="J651">
        <v>103869.28</v>
      </c>
      <c r="K651" t="s">
        <v>37</v>
      </c>
      <c r="L651" t="s">
        <v>18</v>
      </c>
    </row>
    <row r="652" spans="1:12" x14ac:dyDescent="0.3">
      <c r="A652" t="s">
        <v>902</v>
      </c>
      <c r="B652" s="2">
        <v>45699</v>
      </c>
      <c r="C652" t="s">
        <v>274</v>
      </c>
      <c r="D652" t="s">
        <v>27</v>
      </c>
      <c r="E652" t="s">
        <v>49</v>
      </c>
      <c r="F652" t="s">
        <v>23</v>
      </c>
      <c r="G652">
        <v>1</v>
      </c>
      <c r="H652">
        <v>7026.89</v>
      </c>
      <c r="I652">
        <v>0.15</v>
      </c>
      <c r="J652">
        <v>5972.86</v>
      </c>
      <c r="K652" t="s">
        <v>17</v>
      </c>
      <c r="L652" t="s">
        <v>18</v>
      </c>
    </row>
    <row r="653" spans="1:12" x14ac:dyDescent="0.3">
      <c r="A653" t="s">
        <v>903</v>
      </c>
      <c r="B653" s="2">
        <v>45864</v>
      </c>
      <c r="C653" t="s">
        <v>333</v>
      </c>
      <c r="D653" t="s">
        <v>48</v>
      </c>
      <c r="E653" t="s">
        <v>84</v>
      </c>
      <c r="F653" t="s">
        <v>42</v>
      </c>
      <c r="G653">
        <v>5</v>
      </c>
      <c r="H653">
        <v>2897.45</v>
      </c>
      <c r="I653">
        <v>0</v>
      </c>
      <c r="J653">
        <v>14487.25</v>
      </c>
      <c r="K653" t="s">
        <v>17</v>
      </c>
      <c r="L653" t="s">
        <v>29</v>
      </c>
    </row>
    <row r="654" spans="1:12" x14ac:dyDescent="0.3">
      <c r="A654" t="s">
        <v>904</v>
      </c>
      <c r="B654" s="2">
        <v>45965</v>
      </c>
      <c r="C654" t="s">
        <v>175</v>
      </c>
      <c r="D654" t="s">
        <v>45</v>
      </c>
      <c r="E654" t="s">
        <v>56</v>
      </c>
      <c r="F654" t="s">
        <v>16</v>
      </c>
      <c r="G654">
        <v>1</v>
      </c>
      <c r="H654">
        <v>26264.720000000001</v>
      </c>
      <c r="I654">
        <v>0.15</v>
      </c>
      <c r="J654">
        <v>22325.01</v>
      </c>
      <c r="K654" t="s">
        <v>24</v>
      </c>
      <c r="L654" t="s">
        <v>18</v>
      </c>
    </row>
    <row r="655" spans="1:12" x14ac:dyDescent="0.3">
      <c r="A655" t="s">
        <v>905</v>
      </c>
      <c r="B655" s="2">
        <v>45718</v>
      </c>
      <c r="C655" t="s">
        <v>44</v>
      </c>
      <c r="D655" t="s">
        <v>109</v>
      </c>
      <c r="E655" t="s">
        <v>52</v>
      </c>
      <c r="F655" t="s">
        <v>16</v>
      </c>
      <c r="G655">
        <v>1</v>
      </c>
      <c r="H655">
        <v>7003.22</v>
      </c>
      <c r="I655">
        <v>0.15</v>
      </c>
      <c r="J655">
        <v>5952.74</v>
      </c>
      <c r="K655" t="s">
        <v>32</v>
      </c>
      <c r="L655" t="s">
        <v>18</v>
      </c>
    </row>
    <row r="656" spans="1:12" x14ac:dyDescent="0.3">
      <c r="A656" t="s">
        <v>906</v>
      </c>
      <c r="B656" s="2">
        <v>45838</v>
      </c>
      <c r="C656" t="s">
        <v>617</v>
      </c>
      <c r="D656" t="s">
        <v>21</v>
      </c>
      <c r="E656" t="s">
        <v>41</v>
      </c>
      <c r="F656" t="s">
        <v>42</v>
      </c>
      <c r="G656">
        <v>2</v>
      </c>
      <c r="H656">
        <v>1696.95</v>
      </c>
      <c r="I656">
        <v>0</v>
      </c>
      <c r="J656">
        <v>3393.9</v>
      </c>
      <c r="K656" t="s">
        <v>17</v>
      </c>
      <c r="L656" t="s">
        <v>38</v>
      </c>
    </row>
    <row r="657" spans="1:12" x14ac:dyDescent="0.3">
      <c r="A657" t="s">
        <v>907</v>
      </c>
      <c r="B657" s="2">
        <v>45659</v>
      </c>
      <c r="C657" t="s">
        <v>568</v>
      </c>
      <c r="D657" t="s">
        <v>109</v>
      </c>
      <c r="E657" t="s">
        <v>52</v>
      </c>
      <c r="F657" t="s">
        <v>16</v>
      </c>
      <c r="G657">
        <v>2</v>
      </c>
      <c r="H657">
        <v>7638.33</v>
      </c>
      <c r="I657">
        <v>0.05</v>
      </c>
      <c r="J657">
        <v>14512.83</v>
      </c>
      <c r="K657" t="s">
        <v>37</v>
      </c>
      <c r="L657" t="s">
        <v>18</v>
      </c>
    </row>
    <row r="658" spans="1:12" x14ac:dyDescent="0.3">
      <c r="A658" t="s">
        <v>908</v>
      </c>
      <c r="B658" s="2">
        <v>45896</v>
      </c>
      <c r="C658" t="s">
        <v>104</v>
      </c>
      <c r="D658" t="s">
        <v>48</v>
      </c>
      <c r="E658" t="s">
        <v>41</v>
      </c>
      <c r="F658" t="s">
        <v>42</v>
      </c>
      <c r="G658">
        <v>2</v>
      </c>
      <c r="H658">
        <v>1652.28</v>
      </c>
      <c r="I658">
        <v>0.05</v>
      </c>
      <c r="J658">
        <v>3139.33</v>
      </c>
      <c r="K658" t="s">
        <v>17</v>
      </c>
      <c r="L658" t="s">
        <v>18</v>
      </c>
    </row>
    <row r="659" spans="1:12" x14ac:dyDescent="0.3">
      <c r="A659" t="s">
        <v>909</v>
      </c>
      <c r="B659" s="2">
        <v>45701</v>
      </c>
      <c r="C659" t="s">
        <v>799</v>
      </c>
      <c r="E659" t="s">
        <v>49</v>
      </c>
      <c r="F659" t="s">
        <v>23</v>
      </c>
      <c r="G659">
        <v>1</v>
      </c>
      <c r="H659">
        <v>7092.34</v>
      </c>
      <c r="J659">
        <v>7092.34</v>
      </c>
      <c r="K659" t="s">
        <v>37</v>
      </c>
      <c r="L659" t="s">
        <v>18</v>
      </c>
    </row>
    <row r="660" spans="1:12" x14ac:dyDescent="0.3">
      <c r="A660" t="s">
        <v>910</v>
      </c>
      <c r="B660" s="2">
        <v>45712</v>
      </c>
      <c r="C660" t="s">
        <v>13</v>
      </c>
      <c r="D660" t="s">
        <v>27</v>
      </c>
      <c r="E660" t="s">
        <v>28</v>
      </c>
      <c r="F660" t="s">
        <v>16</v>
      </c>
      <c r="G660">
        <v>1</v>
      </c>
      <c r="H660">
        <v>2970.37</v>
      </c>
      <c r="I660">
        <v>0.15</v>
      </c>
      <c r="J660">
        <v>2524.81</v>
      </c>
      <c r="K660" t="s">
        <v>32</v>
      </c>
      <c r="L660" t="s">
        <v>38</v>
      </c>
    </row>
    <row r="661" spans="1:12" x14ac:dyDescent="0.3">
      <c r="A661" t="s">
        <v>911</v>
      </c>
      <c r="B661" s="2">
        <v>46000</v>
      </c>
      <c r="C661" t="s">
        <v>134</v>
      </c>
      <c r="D661" t="s">
        <v>109</v>
      </c>
      <c r="E661" t="s">
        <v>49</v>
      </c>
      <c r="F661" t="s">
        <v>23</v>
      </c>
      <c r="G661">
        <v>3</v>
      </c>
      <c r="H661">
        <v>6665.97</v>
      </c>
      <c r="I661">
        <v>0</v>
      </c>
      <c r="J661">
        <v>19997.91</v>
      </c>
      <c r="K661" t="s">
        <v>37</v>
      </c>
      <c r="L661" t="s">
        <v>38</v>
      </c>
    </row>
    <row r="662" spans="1:12" x14ac:dyDescent="0.3">
      <c r="A662" t="s">
        <v>912</v>
      </c>
      <c r="B662" s="2">
        <v>45762</v>
      </c>
      <c r="C662" t="s">
        <v>214</v>
      </c>
      <c r="D662" t="s">
        <v>45</v>
      </c>
      <c r="E662" t="s">
        <v>22</v>
      </c>
      <c r="F662" t="s">
        <v>23</v>
      </c>
      <c r="G662">
        <v>3</v>
      </c>
      <c r="H662">
        <v>5520.6</v>
      </c>
      <c r="I662">
        <v>0.1</v>
      </c>
      <c r="J662">
        <v>14905.62</v>
      </c>
      <c r="K662" t="s">
        <v>24</v>
      </c>
      <c r="L662" t="s">
        <v>29</v>
      </c>
    </row>
    <row r="663" spans="1:12" x14ac:dyDescent="0.3">
      <c r="A663" t="s">
        <v>913</v>
      </c>
      <c r="B663" s="2">
        <v>45783</v>
      </c>
      <c r="C663" t="s">
        <v>564</v>
      </c>
      <c r="D663" t="s">
        <v>27</v>
      </c>
      <c r="E663" t="s">
        <v>52</v>
      </c>
      <c r="F663" t="s">
        <v>16</v>
      </c>
      <c r="G663">
        <v>2</v>
      </c>
      <c r="H663">
        <v>7783.22</v>
      </c>
      <c r="I663">
        <v>0.15</v>
      </c>
      <c r="J663">
        <v>13231.47</v>
      </c>
      <c r="K663" t="s">
        <v>37</v>
      </c>
      <c r="L663" t="s">
        <v>18</v>
      </c>
    </row>
    <row r="664" spans="1:12" x14ac:dyDescent="0.3">
      <c r="A664" t="s">
        <v>914</v>
      </c>
      <c r="B664" s="2">
        <v>45698</v>
      </c>
      <c r="C664" t="s">
        <v>738</v>
      </c>
      <c r="D664" t="s">
        <v>61</v>
      </c>
      <c r="E664" t="s">
        <v>28</v>
      </c>
      <c r="F664" t="s">
        <v>16</v>
      </c>
      <c r="G664">
        <v>1</v>
      </c>
      <c r="H664">
        <v>3264.61</v>
      </c>
      <c r="I664">
        <v>0.1</v>
      </c>
      <c r="J664">
        <v>2938.15</v>
      </c>
      <c r="K664" t="s">
        <v>24</v>
      </c>
      <c r="L664" t="s">
        <v>38</v>
      </c>
    </row>
    <row r="665" spans="1:12" x14ac:dyDescent="0.3">
      <c r="A665" t="s">
        <v>915</v>
      </c>
      <c r="B665" s="2">
        <v>45949</v>
      </c>
      <c r="C665" t="s">
        <v>595</v>
      </c>
      <c r="D665" t="s">
        <v>61</v>
      </c>
      <c r="E665" t="s">
        <v>28</v>
      </c>
      <c r="F665" t="s">
        <v>16</v>
      </c>
      <c r="G665">
        <v>1</v>
      </c>
      <c r="H665">
        <v>2995.3</v>
      </c>
      <c r="I665">
        <v>0.1</v>
      </c>
      <c r="J665">
        <v>2695.77</v>
      </c>
      <c r="K665" t="s">
        <v>37</v>
      </c>
      <c r="L665" t="s">
        <v>18</v>
      </c>
    </row>
    <row r="666" spans="1:12" x14ac:dyDescent="0.3">
      <c r="A666" t="s">
        <v>916</v>
      </c>
      <c r="B666" s="2">
        <v>45731</v>
      </c>
      <c r="C666" t="s">
        <v>196</v>
      </c>
      <c r="D666" t="s">
        <v>45</v>
      </c>
      <c r="E666" t="s">
        <v>84</v>
      </c>
      <c r="F666" t="s">
        <v>42</v>
      </c>
      <c r="G666">
        <v>1</v>
      </c>
      <c r="H666">
        <v>2697.02</v>
      </c>
      <c r="I666">
        <v>0.1</v>
      </c>
      <c r="J666">
        <v>2427.3200000000002</v>
      </c>
      <c r="K666" t="s">
        <v>32</v>
      </c>
      <c r="L666" t="s">
        <v>18</v>
      </c>
    </row>
    <row r="667" spans="1:12" x14ac:dyDescent="0.3">
      <c r="A667" t="s">
        <v>917</v>
      </c>
      <c r="B667" s="2">
        <v>45802</v>
      </c>
      <c r="C667" t="s">
        <v>304</v>
      </c>
      <c r="D667" t="s">
        <v>45</v>
      </c>
      <c r="E667" t="s">
        <v>49</v>
      </c>
      <c r="F667" t="s">
        <v>23</v>
      </c>
      <c r="G667">
        <v>1</v>
      </c>
      <c r="H667">
        <v>6237.37</v>
      </c>
      <c r="I667">
        <v>0</v>
      </c>
      <c r="J667">
        <v>6237.37</v>
      </c>
      <c r="K667" t="s">
        <v>37</v>
      </c>
      <c r="L667" t="s">
        <v>18</v>
      </c>
    </row>
    <row r="668" spans="1:12" x14ac:dyDescent="0.3">
      <c r="A668" t="s">
        <v>918</v>
      </c>
      <c r="B668" s="2">
        <v>45774</v>
      </c>
      <c r="C668" t="s">
        <v>447</v>
      </c>
      <c r="D668" t="s">
        <v>48</v>
      </c>
      <c r="E668" t="s">
        <v>62</v>
      </c>
      <c r="F668" t="s">
        <v>23</v>
      </c>
      <c r="G668">
        <v>1</v>
      </c>
      <c r="H668">
        <v>1302.25</v>
      </c>
      <c r="I668">
        <v>0</v>
      </c>
      <c r="J668">
        <v>1302.25</v>
      </c>
      <c r="K668" t="s">
        <v>32</v>
      </c>
      <c r="L668" t="s">
        <v>29</v>
      </c>
    </row>
    <row r="669" spans="1:12" x14ac:dyDescent="0.3">
      <c r="A669" t="s">
        <v>919</v>
      </c>
      <c r="B669" s="2">
        <v>45931</v>
      </c>
      <c r="C669" t="s">
        <v>871</v>
      </c>
      <c r="D669" t="s">
        <v>21</v>
      </c>
      <c r="F669" t="s">
        <v>16</v>
      </c>
      <c r="G669">
        <v>1</v>
      </c>
      <c r="H669">
        <v>2931.81</v>
      </c>
      <c r="I669">
        <v>0</v>
      </c>
      <c r="J669">
        <v>2931.81</v>
      </c>
      <c r="K669" t="s">
        <v>37</v>
      </c>
      <c r="L669" t="s">
        <v>29</v>
      </c>
    </row>
    <row r="670" spans="1:12" x14ac:dyDescent="0.3">
      <c r="A670" t="s">
        <v>920</v>
      </c>
      <c r="B670" s="2">
        <v>45704</v>
      </c>
      <c r="C670" t="s">
        <v>661</v>
      </c>
      <c r="D670" t="s">
        <v>21</v>
      </c>
      <c r="E670" t="s">
        <v>28</v>
      </c>
      <c r="F670" t="s">
        <v>16</v>
      </c>
      <c r="G670">
        <v>3</v>
      </c>
      <c r="H670">
        <v>2882.46</v>
      </c>
      <c r="I670">
        <v>0</v>
      </c>
      <c r="J670">
        <v>8647.3799999999992</v>
      </c>
      <c r="K670" t="s">
        <v>37</v>
      </c>
      <c r="L670" t="s">
        <v>18</v>
      </c>
    </row>
    <row r="671" spans="1:12" x14ac:dyDescent="0.3">
      <c r="A671" t="s">
        <v>921</v>
      </c>
      <c r="B671" s="2">
        <v>45683</v>
      </c>
      <c r="C671" t="s">
        <v>272</v>
      </c>
      <c r="D671" t="s">
        <v>109</v>
      </c>
      <c r="E671" t="s">
        <v>62</v>
      </c>
      <c r="F671" t="s">
        <v>23</v>
      </c>
      <c r="G671">
        <v>1</v>
      </c>
      <c r="H671">
        <v>1100.9100000000001</v>
      </c>
      <c r="I671">
        <v>0.15</v>
      </c>
      <c r="J671">
        <v>935.77</v>
      </c>
      <c r="K671" t="s">
        <v>24</v>
      </c>
      <c r="L671" t="s">
        <v>18</v>
      </c>
    </row>
    <row r="672" spans="1:12" x14ac:dyDescent="0.3">
      <c r="A672" t="s">
        <v>922</v>
      </c>
      <c r="B672" s="2">
        <v>45932</v>
      </c>
      <c r="C672" t="s">
        <v>262</v>
      </c>
      <c r="D672" t="s">
        <v>21</v>
      </c>
      <c r="E672" t="s">
        <v>35</v>
      </c>
      <c r="F672" t="s">
        <v>36</v>
      </c>
      <c r="G672">
        <v>3</v>
      </c>
      <c r="H672">
        <v>1950.2</v>
      </c>
      <c r="I672">
        <v>0</v>
      </c>
      <c r="J672">
        <v>5850.6</v>
      </c>
      <c r="K672" t="s">
        <v>37</v>
      </c>
      <c r="L672" t="s">
        <v>18</v>
      </c>
    </row>
    <row r="673" spans="1:12" x14ac:dyDescent="0.3">
      <c r="A673" t="s">
        <v>923</v>
      </c>
      <c r="B673" s="2">
        <v>45857</v>
      </c>
      <c r="C673" t="s">
        <v>899</v>
      </c>
      <c r="D673" t="s">
        <v>21</v>
      </c>
      <c r="E673" t="s">
        <v>15</v>
      </c>
      <c r="F673" t="s">
        <v>16</v>
      </c>
      <c r="G673">
        <v>2</v>
      </c>
      <c r="H673">
        <v>22398.34</v>
      </c>
      <c r="I673">
        <v>0.1</v>
      </c>
      <c r="J673">
        <v>40317.01</v>
      </c>
      <c r="K673" t="s">
        <v>37</v>
      </c>
      <c r="L673" t="s">
        <v>29</v>
      </c>
    </row>
    <row r="674" spans="1:12" x14ac:dyDescent="0.3">
      <c r="A674" t="s">
        <v>924</v>
      </c>
      <c r="B674" s="2">
        <v>45786</v>
      </c>
      <c r="C674" t="s">
        <v>212</v>
      </c>
      <c r="D674" t="s">
        <v>27</v>
      </c>
      <c r="E674" t="s">
        <v>15</v>
      </c>
      <c r="F674" t="s">
        <v>16</v>
      </c>
      <c r="G674">
        <v>2</v>
      </c>
      <c r="H674">
        <v>22028.27</v>
      </c>
      <c r="I674">
        <v>0</v>
      </c>
      <c r="J674">
        <v>44056.54</v>
      </c>
      <c r="K674" t="s">
        <v>24</v>
      </c>
      <c r="L674" t="s">
        <v>18</v>
      </c>
    </row>
    <row r="675" spans="1:12" x14ac:dyDescent="0.3">
      <c r="A675" t="s">
        <v>925</v>
      </c>
      <c r="B675" s="2">
        <v>45805</v>
      </c>
      <c r="C675" t="s">
        <v>602</v>
      </c>
      <c r="D675" t="s">
        <v>61</v>
      </c>
      <c r="E675" t="s">
        <v>49</v>
      </c>
      <c r="F675" t="s">
        <v>23</v>
      </c>
      <c r="G675">
        <v>2</v>
      </c>
      <c r="H675">
        <v>6654.97</v>
      </c>
      <c r="I675">
        <v>0.05</v>
      </c>
      <c r="J675">
        <v>12644.44</v>
      </c>
      <c r="K675" t="s">
        <v>37</v>
      </c>
      <c r="L675" t="s">
        <v>18</v>
      </c>
    </row>
    <row r="676" spans="1:12" x14ac:dyDescent="0.3">
      <c r="A676" t="s">
        <v>926</v>
      </c>
      <c r="B676" s="2">
        <v>45869</v>
      </c>
      <c r="C676" t="s">
        <v>64</v>
      </c>
      <c r="D676" t="s">
        <v>14</v>
      </c>
      <c r="E676" t="s">
        <v>56</v>
      </c>
      <c r="F676" t="s">
        <v>16</v>
      </c>
      <c r="G676">
        <v>2</v>
      </c>
      <c r="H676">
        <v>25350.46</v>
      </c>
      <c r="I676">
        <v>0.05</v>
      </c>
      <c r="J676">
        <v>48165.87</v>
      </c>
      <c r="K676" t="s">
        <v>32</v>
      </c>
      <c r="L676" t="s">
        <v>18</v>
      </c>
    </row>
    <row r="677" spans="1:12" x14ac:dyDescent="0.3">
      <c r="A677" t="s">
        <v>927</v>
      </c>
      <c r="B677" s="2">
        <v>45875</v>
      </c>
      <c r="C677" t="s">
        <v>360</v>
      </c>
      <c r="D677" t="s">
        <v>27</v>
      </c>
      <c r="E677" t="s">
        <v>49</v>
      </c>
      <c r="F677" t="s">
        <v>23</v>
      </c>
      <c r="G677">
        <v>2</v>
      </c>
      <c r="H677">
        <v>6239.57</v>
      </c>
      <c r="I677">
        <v>0.1</v>
      </c>
      <c r="J677">
        <v>11231.23</v>
      </c>
      <c r="K677" t="s">
        <v>37</v>
      </c>
      <c r="L677" t="s">
        <v>29</v>
      </c>
    </row>
    <row r="678" spans="1:12" x14ac:dyDescent="0.3">
      <c r="A678" t="s">
        <v>928</v>
      </c>
      <c r="B678" s="2">
        <v>45723</v>
      </c>
      <c r="C678" t="s">
        <v>540</v>
      </c>
      <c r="D678" t="s">
        <v>61</v>
      </c>
      <c r="E678" t="s">
        <v>84</v>
      </c>
      <c r="F678" t="s">
        <v>42</v>
      </c>
      <c r="G678">
        <v>2</v>
      </c>
      <c r="H678">
        <v>2760.11</v>
      </c>
      <c r="I678">
        <v>0.05</v>
      </c>
      <c r="J678">
        <v>5244.21</v>
      </c>
      <c r="K678" t="s">
        <v>17</v>
      </c>
      <c r="L678" t="s">
        <v>18</v>
      </c>
    </row>
    <row r="679" spans="1:12" x14ac:dyDescent="0.3">
      <c r="A679" t="s">
        <v>929</v>
      </c>
      <c r="B679" s="2">
        <v>45703</v>
      </c>
      <c r="C679" t="s">
        <v>90</v>
      </c>
      <c r="D679" t="s">
        <v>61</v>
      </c>
      <c r="E679" t="s">
        <v>49</v>
      </c>
      <c r="F679" t="s">
        <v>23</v>
      </c>
      <c r="G679">
        <v>1</v>
      </c>
      <c r="H679">
        <v>6964.05</v>
      </c>
      <c r="I679">
        <v>0.1</v>
      </c>
      <c r="J679">
        <v>6267.64</v>
      </c>
      <c r="K679" t="s">
        <v>32</v>
      </c>
      <c r="L679" t="s">
        <v>29</v>
      </c>
    </row>
    <row r="680" spans="1:12" x14ac:dyDescent="0.3">
      <c r="A680" t="s">
        <v>930</v>
      </c>
      <c r="B680" s="2">
        <v>45895</v>
      </c>
      <c r="C680" t="s">
        <v>264</v>
      </c>
      <c r="D680" t="s">
        <v>45</v>
      </c>
      <c r="E680" t="s">
        <v>22</v>
      </c>
      <c r="F680" t="s">
        <v>23</v>
      </c>
      <c r="G680">
        <v>1</v>
      </c>
      <c r="H680">
        <v>5654.19</v>
      </c>
      <c r="I680">
        <v>0</v>
      </c>
      <c r="J680">
        <v>5654.19</v>
      </c>
      <c r="K680" t="s">
        <v>32</v>
      </c>
      <c r="L680" t="s">
        <v>18</v>
      </c>
    </row>
    <row r="681" spans="1:12" x14ac:dyDescent="0.3">
      <c r="A681" t="s">
        <v>931</v>
      </c>
      <c r="B681" s="2">
        <v>45728</v>
      </c>
      <c r="C681" t="s">
        <v>99</v>
      </c>
      <c r="D681" t="s">
        <v>14</v>
      </c>
      <c r="E681" t="s">
        <v>56</v>
      </c>
      <c r="F681" t="s">
        <v>16</v>
      </c>
      <c r="G681">
        <v>3</v>
      </c>
      <c r="H681">
        <v>27024.62</v>
      </c>
      <c r="I681">
        <v>0.1</v>
      </c>
      <c r="J681">
        <v>72966.47</v>
      </c>
      <c r="K681" t="s">
        <v>24</v>
      </c>
      <c r="L681" t="s">
        <v>18</v>
      </c>
    </row>
    <row r="682" spans="1:12" x14ac:dyDescent="0.3">
      <c r="A682" t="s">
        <v>932</v>
      </c>
      <c r="B682" s="2">
        <v>45800</v>
      </c>
      <c r="C682" t="s">
        <v>194</v>
      </c>
      <c r="D682" t="s">
        <v>14</v>
      </c>
      <c r="E682" t="s">
        <v>22</v>
      </c>
      <c r="F682" t="s">
        <v>23</v>
      </c>
      <c r="G682">
        <v>1</v>
      </c>
      <c r="H682">
        <v>5387.6</v>
      </c>
      <c r="I682">
        <v>0.05</v>
      </c>
      <c r="J682">
        <v>5118.22</v>
      </c>
      <c r="K682" t="s">
        <v>24</v>
      </c>
      <c r="L682" t="s">
        <v>29</v>
      </c>
    </row>
    <row r="683" spans="1:12" x14ac:dyDescent="0.3">
      <c r="A683" t="s">
        <v>933</v>
      </c>
      <c r="B683" s="2">
        <v>45811</v>
      </c>
      <c r="C683" t="s">
        <v>267</v>
      </c>
      <c r="D683" t="s">
        <v>45</v>
      </c>
      <c r="E683" t="s">
        <v>41</v>
      </c>
      <c r="F683" t="s">
        <v>42</v>
      </c>
      <c r="G683">
        <v>1</v>
      </c>
      <c r="H683">
        <v>1531.67</v>
      </c>
      <c r="I683">
        <v>0</v>
      </c>
      <c r="J683">
        <v>1531.67</v>
      </c>
      <c r="K683" t="s">
        <v>37</v>
      </c>
      <c r="L683" t="s">
        <v>29</v>
      </c>
    </row>
    <row r="684" spans="1:12" x14ac:dyDescent="0.3">
      <c r="A684" t="s">
        <v>934</v>
      </c>
      <c r="B684" s="2">
        <v>45671</v>
      </c>
      <c r="C684" t="s">
        <v>568</v>
      </c>
      <c r="D684" t="s">
        <v>21</v>
      </c>
      <c r="E684" t="s">
        <v>22</v>
      </c>
      <c r="F684" t="s">
        <v>23</v>
      </c>
      <c r="G684">
        <v>2</v>
      </c>
      <c r="H684">
        <v>5671.24</v>
      </c>
      <c r="I684">
        <v>0.05</v>
      </c>
      <c r="J684">
        <v>10775.36</v>
      </c>
      <c r="K684" t="s">
        <v>24</v>
      </c>
      <c r="L684" t="s">
        <v>18</v>
      </c>
    </row>
    <row r="685" spans="1:12" x14ac:dyDescent="0.3">
      <c r="A685" t="s">
        <v>935</v>
      </c>
      <c r="B685" s="2">
        <v>45880</v>
      </c>
      <c r="C685" t="s">
        <v>281</v>
      </c>
      <c r="D685" t="s">
        <v>27</v>
      </c>
      <c r="E685" t="s">
        <v>28</v>
      </c>
      <c r="F685" t="s">
        <v>16</v>
      </c>
      <c r="G685">
        <v>1</v>
      </c>
      <c r="H685">
        <v>2957.63</v>
      </c>
      <c r="I685">
        <v>0.1</v>
      </c>
      <c r="J685">
        <v>2661.87</v>
      </c>
      <c r="K685" t="s">
        <v>32</v>
      </c>
      <c r="L685" t="s">
        <v>18</v>
      </c>
    </row>
    <row r="686" spans="1:12" x14ac:dyDescent="0.3">
      <c r="A686" t="s">
        <v>936</v>
      </c>
      <c r="B686" s="2">
        <v>45995</v>
      </c>
      <c r="C686" t="s">
        <v>615</v>
      </c>
      <c r="D686" t="s">
        <v>14</v>
      </c>
      <c r="E686" t="s">
        <v>28</v>
      </c>
      <c r="F686" t="s">
        <v>16</v>
      </c>
      <c r="G686">
        <v>2</v>
      </c>
      <c r="H686">
        <v>3454.95</v>
      </c>
      <c r="I686">
        <v>0.1</v>
      </c>
      <c r="J686">
        <v>6218.91</v>
      </c>
      <c r="K686" t="s">
        <v>24</v>
      </c>
      <c r="L686" t="s">
        <v>18</v>
      </c>
    </row>
    <row r="687" spans="1:12" x14ac:dyDescent="0.3">
      <c r="A687" t="s">
        <v>937</v>
      </c>
      <c r="B687" s="2">
        <v>45797</v>
      </c>
      <c r="C687" t="s">
        <v>415</v>
      </c>
      <c r="D687" t="s">
        <v>109</v>
      </c>
      <c r="E687" t="s">
        <v>84</v>
      </c>
      <c r="F687" t="s">
        <v>42</v>
      </c>
      <c r="G687">
        <v>1</v>
      </c>
      <c r="H687">
        <v>2792.84</v>
      </c>
      <c r="I687">
        <v>0</v>
      </c>
      <c r="J687">
        <v>2792.84</v>
      </c>
      <c r="K687" t="s">
        <v>32</v>
      </c>
      <c r="L687" t="s">
        <v>18</v>
      </c>
    </row>
    <row r="688" spans="1:12" x14ac:dyDescent="0.3">
      <c r="A688" t="s">
        <v>938</v>
      </c>
      <c r="B688" s="2">
        <v>45949</v>
      </c>
      <c r="C688" t="s">
        <v>179</v>
      </c>
      <c r="D688" t="s">
        <v>21</v>
      </c>
      <c r="E688" t="s">
        <v>28</v>
      </c>
      <c r="F688" t="s">
        <v>16</v>
      </c>
      <c r="G688">
        <v>2</v>
      </c>
      <c r="H688">
        <v>3044.79</v>
      </c>
      <c r="I688">
        <v>0.1</v>
      </c>
      <c r="J688">
        <v>5480.62</v>
      </c>
      <c r="K688" t="s">
        <v>37</v>
      </c>
      <c r="L688" t="s">
        <v>29</v>
      </c>
    </row>
    <row r="689" spans="1:12" x14ac:dyDescent="0.3">
      <c r="A689" t="s">
        <v>939</v>
      </c>
      <c r="B689" s="2">
        <v>45824</v>
      </c>
      <c r="C689" t="s">
        <v>157</v>
      </c>
      <c r="D689" t="s">
        <v>61</v>
      </c>
      <c r="E689" t="s">
        <v>49</v>
      </c>
      <c r="F689" t="s">
        <v>23</v>
      </c>
      <c r="G689">
        <v>1</v>
      </c>
      <c r="H689">
        <v>6301.1</v>
      </c>
      <c r="I689">
        <v>0.05</v>
      </c>
      <c r="J689">
        <v>5986.04</v>
      </c>
      <c r="K689" t="s">
        <v>17</v>
      </c>
      <c r="L689" t="s">
        <v>18</v>
      </c>
    </row>
    <row r="690" spans="1:12" x14ac:dyDescent="0.3">
      <c r="A690" t="s">
        <v>940</v>
      </c>
      <c r="B690" s="2">
        <v>45987</v>
      </c>
      <c r="C690" t="s">
        <v>339</v>
      </c>
      <c r="D690" t="s">
        <v>48</v>
      </c>
      <c r="E690" t="s">
        <v>84</v>
      </c>
      <c r="F690" t="s">
        <v>42</v>
      </c>
      <c r="G690">
        <v>3</v>
      </c>
      <c r="H690">
        <v>2696.96</v>
      </c>
      <c r="I690">
        <v>0.15</v>
      </c>
      <c r="J690">
        <v>6877.25</v>
      </c>
      <c r="K690" t="s">
        <v>24</v>
      </c>
      <c r="L690" t="s">
        <v>18</v>
      </c>
    </row>
    <row r="691" spans="1:12" x14ac:dyDescent="0.3">
      <c r="A691" t="s">
        <v>941</v>
      </c>
      <c r="B691" s="2">
        <v>45905</v>
      </c>
      <c r="C691" t="s">
        <v>81</v>
      </c>
      <c r="D691" t="s">
        <v>45</v>
      </c>
      <c r="E691" t="s">
        <v>35</v>
      </c>
      <c r="F691" t="s">
        <v>36</v>
      </c>
      <c r="G691">
        <v>1</v>
      </c>
      <c r="H691">
        <v>1862.19</v>
      </c>
      <c r="I691">
        <v>0</v>
      </c>
      <c r="J691">
        <v>1862.19</v>
      </c>
      <c r="K691" t="s">
        <v>37</v>
      </c>
      <c r="L691" t="s">
        <v>18</v>
      </c>
    </row>
    <row r="692" spans="1:12" x14ac:dyDescent="0.3">
      <c r="A692" t="s">
        <v>942</v>
      </c>
      <c r="B692" s="2">
        <v>46009</v>
      </c>
      <c r="C692" t="s">
        <v>408</v>
      </c>
      <c r="D692" t="s">
        <v>109</v>
      </c>
      <c r="E692" t="s">
        <v>62</v>
      </c>
      <c r="F692" t="s">
        <v>23</v>
      </c>
      <c r="G692">
        <v>1</v>
      </c>
      <c r="H692">
        <v>1105.48</v>
      </c>
      <c r="I692">
        <v>0</v>
      </c>
      <c r="J692">
        <v>1105.48</v>
      </c>
      <c r="K692" t="s">
        <v>17</v>
      </c>
      <c r="L692" t="s">
        <v>18</v>
      </c>
    </row>
    <row r="693" spans="1:12" x14ac:dyDescent="0.3">
      <c r="A693" t="s">
        <v>943</v>
      </c>
      <c r="B693" s="2">
        <v>45936</v>
      </c>
      <c r="C693" t="s">
        <v>556</v>
      </c>
      <c r="D693" t="s">
        <v>21</v>
      </c>
      <c r="E693" t="s">
        <v>41</v>
      </c>
      <c r="F693" t="s">
        <v>42</v>
      </c>
      <c r="G693">
        <v>1</v>
      </c>
      <c r="H693">
        <v>1589.2</v>
      </c>
      <c r="I693">
        <v>0.2</v>
      </c>
      <c r="J693">
        <v>1271.3599999999999</v>
      </c>
      <c r="K693" t="s">
        <v>32</v>
      </c>
      <c r="L693" t="s">
        <v>38</v>
      </c>
    </row>
    <row r="694" spans="1:12" x14ac:dyDescent="0.3">
      <c r="A694" t="s">
        <v>944</v>
      </c>
      <c r="B694" s="2">
        <v>45675</v>
      </c>
      <c r="C694" t="s">
        <v>40</v>
      </c>
      <c r="D694" t="s">
        <v>27</v>
      </c>
      <c r="E694" t="s">
        <v>56</v>
      </c>
      <c r="F694" t="s">
        <v>16</v>
      </c>
      <c r="G694">
        <v>1</v>
      </c>
      <c r="H694">
        <v>29926.36</v>
      </c>
      <c r="I694">
        <v>0.05</v>
      </c>
      <c r="J694">
        <v>28430.04</v>
      </c>
      <c r="K694" t="s">
        <v>37</v>
      </c>
      <c r="L694" t="s">
        <v>18</v>
      </c>
    </row>
    <row r="695" spans="1:12" x14ac:dyDescent="0.3">
      <c r="A695" t="s">
        <v>945</v>
      </c>
      <c r="B695" s="2">
        <v>45745</v>
      </c>
      <c r="C695" t="s">
        <v>218</v>
      </c>
      <c r="D695" t="s">
        <v>45</v>
      </c>
      <c r="E695" t="s">
        <v>49</v>
      </c>
      <c r="F695" t="s">
        <v>23</v>
      </c>
      <c r="G695">
        <v>2</v>
      </c>
      <c r="H695">
        <v>6282.15</v>
      </c>
      <c r="I695">
        <v>0.05</v>
      </c>
      <c r="J695">
        <v>11936.08</v>
      </c>
      <c r="K695" t="s">
        <v>24</v>
      </c>
      <c r="L695" t="s">
        <v>18</v>
      </c>
    </row>
    <row r="696" spans="1:12" x14ac:dyDescent="0.3">
      <c r="A696" t="s">
        <v>946</v>
      </c>
      <c r="B696" s="2">
        <v>45821</v>
      </c>
      <c r="C696" t="s">
        <v>129</v>
      </c>
      <c r="D696" t="s">
        <v>61</v>
      </c>
      <c r="E696" t="s">
        <v>56</v>
      </c>
      <c r="F696" t="s">
        <v>16</v>
      </c>
      <c r="G696">
        <v>2</v>
      </c>
      <c r="H696">
        <v>30632.42</v>
      </c>
      <c r="I696">
        <v>0.2</v>
      </c>
      <c r="J696">
        <v>49011.87</v>
      </c>
      <c r="K696" t="s">
        <v>37</v>
      </c>
      <c r="L696" t="s">
        <v>29</v>
      </c>
    </row>
    <row r="697" spans="1:12" x14ac:dyDescent="0.3">
      <c r="A697" t="s">
        <v>947</v>
      </c>
      <c r="B697" s="2">
        <v>45936</v>
      </c>
      <c r="C697" t="s">
        <v>44</v>
      </c>
      <c r="D697" t="s">
        <v>27</v>
      </c>
      <c r="E697" t="s">
        <v>15</v>
      </c>
      <c r="F697" t="s">
        <v>16</v>
      </c>
      <c r="G697">
        <v>2</v>
      </c>
      <c r="H697">
        <v>20924.47</v>
      </c>
      <c r="I697">
        <v>0.05</v>
      </c>
      <c r="J697">
        <v>39756.49</v>
      </c>
      <c r="K697" t="s">
        <v>32</v>
      </c>
      <c r="L697" t="s">
        <v>38</v>
      </c>
    </row>
    <row r="698" spans="1:12" x14ac:dyDescent="0.3">
      <c r="A698" t="s">
        <v>948</v>
      </c>
      <c r="B698" s="2">
        <v>45839</v>
      </c>
      <c r="C698" t="s">
        <v>137</v>
      </c>
      <c r="D698" t="s">
        <v>14</v>
      </c>
      <c r="E698" t="s">
        <v>56</v>
      </c>
      <c r="F698" t="s">
        <v>16</v>
      </c>
      <c r="G698">
        <v>1</v>
      </c>
      <c r="H698">
        <v>28618.03</v>
      </c>
      <c r="I698">
        <v>0.15</v>
      </c>
      <c r="J698">
        <v>24325.33</v>
      </c>
      <c r="K698" t="s">
        <v>37</v>
      </c>
      <c r="L698" t="s">
        <v>18</v>
      </c>
    </row>
    <row r="699" spans="1:12" x14ac:dyDescent="0.3">
      <c r="A699" t="s">
        <v>949</v>
      </c>
      <c r="B699" s="2">
        <v>45765</v>
      </c>
      <c r="C699" t="s">
        <v>694</v>
      </c>
      <c r="D699" t="s">
        <v>109</v>
      </c>
      <c r="E699" t="s">
        <v>62</v>
      </c>
      <c r="F699" t="s">
        <v>23</v>
      </c>
      <c r="G699">
        <v>1</v>
      </c>
      <c r="H699">
        <v>1297.5</v>
      </c>
      <c r="I699">
        <v>0.1</v>
      </c>
      <c r="J699">
        <v>1167.75</v>
      </c>
      <c r="K699" t="s">
        <v>37</v>
      </c>
      <c r="L699" t="s">
        <v>38</v>
      </c>
    </row>
    <row r="700" spans="1:12" x14ac:dyDescent="0.3">
      <c r="A700" t="s">
        <v>950</v>
      </c>
      <c r="B700" s="2">
        <v>45861</v>
      </c>
      <c r="C700" t="s">
        <v>279</v>
      </c>
      <c r="D700" t="s">
        <v>61</v>
      </c>
      <c r="E700" t="s">
        <v>84</v>
      </c>
      <c r="F700" t="s">
        <v>42</v>
      </c>
      <c r="G700">
        <v>1</v>
      </c>
      <c r="H700">
        <v>2996.53</v>
      </c>
      <c r="I700">
        <v>0.05</v>
      </c>
      <c r="J700">
        <v>2846.7</v>
      </c>
      <c r="K700" t="s">
        <v>32</v>
      </c>
      <c r="L700" t="s">
        <v>29</v>
      </c>
    </row>
    <row r="701" spans="1:12" x14ac:dyDescent="0.3">
      <c r="A701" t="s">
        <v>951</v>
      </c>
      <c r="B701" s="2">
        <v>45965</v>
      </c>
      <c r="C701" t="s">
        <v>393</v>
      </c>
      <c r="D701" t="s">
        <v>27</v>
      </c>
      <c r="E701" t="s">
        <v>41</v>
      </c>
      <c r="F701" t="s">
        <v>42</v>
      </c>
      <c r="G701">
        <v>1</v>
      </c>
      <c r="H701">
        <v>1501.43</v>
      </c>
      <c r="I701">
        <v>0.05</v>
      </c>
      <c r="J701">
        <v>1426.36</v>
      </c>
      <c r="K701" t="s">
        <v>37</v>
      </c>
      <c r="L701" t="s">
        <v>18</v>
      </c>
    </row>
    <row r="702" spans="1:12" x14ac:dyDescent="0.3">
      <c r="A702" t="s">
        <v>952</v>
      </c>
      <c r="B702" s="2">
        <v>46012</v>
      </c>
      <c r="C702" t="s">
        <v>291</v>
      </c>
      <c r="D702" t="s">
        <v>21</v>
      </c>
      <c r="E702" t="s">
        <v>41</v>
      </c>
      <c r="F702" t="s">
        <v>42</v>
      </c>
      <c r="G702">
        <v>1</v>
      </c>
      <c r="H702">
        <v>1568.76</v>
      </c>
      <c r="I702">
        <v>0.1</v>
      </c>
      <c r="J702">
        <v>1411.88</v>
      </c>
      <c r="K702" t="s">
        <v>37</v>
      </c>
      <c r="L702" t="s">
        <v>18</v>
      </c>
    </row>
    <row r="703" spans="1:12" x14ac:dyDescent="0.3">
      <c r="A703" t="s">
        <v>953</v>
      </c>
      <c r="B703" s="2">
        <v>45998</v>
      </c>
      <c r="C703" t="s">
        <v>954</v>
      </c>
      <c r="D703" t="s">
        <v>61</v>
      </c>
      <c r="E703" t="s">
        <v>28</v>
      </c>
      <c r="F703" t="s">
        <v>16</v>
      </c>
      <c r="G703">
        <v>2</v>
      </c>
      <c r="H703">
        <v>3517.13</v>
      </c>
      <c r="I703">
        <v>0.15</v>
      </c>
      <c r="J703">
        <v>5979.12</v>
      </c>
      <c r="K703" t="s">
        <v>32</v>
      </c>
      <c r="L703" t="s">
        <v>18</v>
      </c>
    </row>
    <row r="704" spans="1:12" x14ac:dyDescent="0.3">
      <c r="A704" t="s">
        <v>955</v>
      </c>
      <c r="B704" s="2">
        <v>45816</v>
      </c>
      <c r="C704" t="s">
        <v>114</v>
      </c>
      <c r="D704" t="s">
        <v>109</v>
      </c>
      <c r="E704" t="s">
        <v>52</v>
      </c>
      <c r="F704" t="s">
        <v>16</v>
      </c>
      <c r="G704">
        <v>1</v>
      </c>
      <c r="H704">
        <v>8007.91</v>
      </c>
      <c r="I704">
        <v>0.2</v>
      </c>
      <c r="J704">
        <v>6406.33</v>
      </c>
      <c r="K704" t="s">
        <v>37</v>
      </c>
      <c r="L704" t="s">
        <v>18</v>
      </c>
    </row>
    <row r="705" spans="1:12" x14ac:dyDescent="0.3">
      <c r="A705" t="s">
        <v>956</v>
      </c>
      <c r="B705" s="2">
        <v>45982</v>
      </c>
      <c r="C705" t="s">
        <v>470</v>
      </c>
      <c r="D705" t="s">
        <v>21</v>
      </c>
      <c r="E705" t="s">
        <v>49</v>
      </c>
      <c r="F705" t="s">
        <v>23</v>
      </c>
      <c r="G705">
        <v>1</v>
      </c>
      <c r="H705">
        <v>6506.97</v>
      </c>
      <c r="I705">
        <v>0</v>
      </c>
      <c r="J705">
        <v>6506.97</v>
      </c>
      <c r="K705" t="s">
        <v>24</v>
      </c>
      <c r="L705" t="s">
        <v>29</v>
      </c>
    </row>
    <row r="706" spans="1:12" x14ac:dyDescent="0.3">
      <c r="A706" t="s">
        <v>957</v>
      </c>
      <c r="B706" s="2">
        <v>46022</v>
      </c>
      <c r="C706" t="s">
        <v>632</v>
      </c>
      <c r="D706" t="s">
        <v>109</v>
      </c>
      <c r="E706" t="s">
        <v>56</v>
      </c>
      <c r="F706" t="s">
        <v>16</v>
      </c>
      <c r="G706">
        <v>5</v>
      </c>
      <c r="H706">
        <v>27693.53</v>
      </c>
      <c r="I706">
        <v>0</v>
      </c>
      <c r="J706">
        <v>138467.65</v>
      </c>
      <c r="K706" t="s">
        <v>24</v>
      </c>
      <c r="L706" t="s">
        <v>18</v>
      </c>
    </row>
    <row r="707" spans="1:12" x14ac:dyDescent="0.3">
      <c r="A707" t="s">
        <v>958</v>
      </c>
      <c r="B707" s="2">
        <v>45758</v>
      </c>
      <c r="C707" t="s">
        <v>437</v>
      </c>
      <c r="D707" t="s">
        <v>109</v>
      </c>
      <c r="E707" t="s">
        <v>49</v>
      </c>
      <c r="F707" t="s">
        <v>23</v>
      </c>
      <c r="G707">
        <v>2</v>
      </c>
      <c r="H707">
        <v>6665.71</v>
      </c>
      <c r="I707">
        <v>0</v>
      </c>
      <c r="J707">
        <v>13331.42</v>
      </c>
      <c r="K707" t="s">
        <v>17</v>
      </c>
      <c r="L707" t="s">
        <v>29</v>
      </c>
    </row>
    <row r="708" spans="1:12" x14ac:dyDescent="0.3">
      <c r="A708" t="s">
        <v>959</v>
      </c>
      <c r="B708" s="2">
        <v>45661</v>
      </c>
      <c r="C708" t="s">
        <v>794</v>
      </c>
      <c r="D708" t="s">
        <v>109</v>
      </c>
      <c r="E708" t="s">
        <v>84</v>
      </c>
      <c r="F708" t="s">
        <v>42</v>
      </c>
      <c r="G708">
        <v>1</v>
      </c>
      <c r="H708">
        <v>2678.35</v>
      </c>
      <c r="I708">
        <v>0.05</v>
      </c>
      <c r="J708">
        <v>2544.4299999999998</v>
      </c>
      <c r="K708" t="s">
        <v>32</v>
      </c>
      <c r="L708" t="s">
        <v>29</v>
      </c>
    </row>
    <row r="709" spans="1:12" x14ac:dyDescent="0.3">
      <c r="A709" t="s">
        <v>960</v>
      </c>
      <c r="B709" s="2">
        <v>45718</v>
      </c>
      <c r="C709" t="s">
        <v>114</v>
      </c>
      <c r="D709" t="s">
        <v>109</v>
      </c>
      <c r="E709" t="s">
        <v>52</v>
      </c>
      <c r="F709" t="s">
        <v>16</v>
      </c>
      <c r="G709">
        <v>1</v>
      </c>
      <c r="H709">
        <v>7401.8</v>
      </c>
      <c r="I709">
        <v>0.1</v>
      </c>
      <c r="J709">
        <v>6661.62</v>
      </c>
      <c r="K709" t="s">
        <v>17</v>
      </c>
      <c r="L709" t="s">
        <v>38</v>
      </c>
    </row>
    <row r="710" spans="1:12" x14ac:dyDescent="0.3">
      <c r="A710" t="s">
        <v>961</v>
      </c>
      <c r="B710" s="2">
        <v>45912</v>
      </c>
      <c r="C710" t="s">
        <v>851</v>
      </c>
      <c r="D710" t="s">
        <v>109</v>
      </c>
      <c r="E710" t="s">
        <v>28</v>
      </c>
      <c r="F710" t="s">
        <v>16</v>
      </c>
      <c r="G710">
        <v>1</v>
      </c>
      <c r="H710">
        <v>3132</v>
      </c>
      <c r="I710">
        <v>0.1</v>
      </c>
      <c r="J710">
        <v>2818.8</v>
      </c>
      <c r="K710" t="s">
        <v>17</v>
      </c>
      <c r="L710" t="s">
        <v>18</v>
      </c>
    </row>
    <row r="711" spans="1:12" x14ac:dyDescent="0.3">
      <c r="A711" t="s">
        <v>962</v>
      </c>
      <c r="B711" s="2">
        <v>46009</v>
      </c>
      <c r="C711" t="s">
        <v>60</v>
      </c>
      <c r="D711" t="s">
        <v>27</v>
      </c>
      <c r="E711" t="s">
        <v>52</v>
      </c>
      <c r="F711" t="s">
        <v>16</v>
      </c>
      <c r="G711">
        <v>1</v>
      </c>
      <c r="H711">
        <v>7304.03</v>
      </c>
      <c r="I711">
        <v>0</v>
      </c>
      <c r="J711">
        <v>7304.03</v>
      </c>
      <c r="K711" t="s">
        <v>32</v>
      </c>
      <c r="L711" t="s">
        <v>38</v>
      </c>
    </row>
    <row r="712" spans="1:12" x14ac:dyDescent="0.3">
      <c r="A712" t="s">
        <v>963</v>
      </c>
      <c r="B712" s="2">
        <v>45951</v>
      </c>
      <c r="C712" t="s">
        <v>143</v>
      </c>
      <c r="D712" t="s">
        <v>48</v>
      </c>
      <c r="E712" t="s">
        <v>22</v>
      </c>
      <c r="F712" t="s">
        <v>23</v>
      </c>
      <c r="G712">
        <v>2</v>
      </c>
      <c r="H712">
        <v>4697.33</v>
      </c>
      <c r="I712">
        <v>0.1</v>
      </c>
      <c r="J712">
        <v>8455.19</v>
      </c>
      <c r="K712" t="s">
        <v>32</v>
      </c>
      <c r="L712" t="s">
        <v>29</v>
      </c>
    </row>
    <row r="713" spans="1:12" x14ac:dyDescent="0.3">
      <c r="A713" t="s">
        <v>964</v>
      </c>
      <c r="B713" s="2">
        <v>45904</v>
      </c>
      <c r="C713" t="s">
        <v>673</v>
      </c>
      <c r="D713" t="s">
        <v>61</v>
      </c>
      <c r="E713" t="s">
        <v>49</v>
      </c>
      <c r="F713" t="s">
        <v>23</v>
      </c>
      <c r="G713">
        <v>2</v>
      </c>
      <c r="H713">
        <v>6749.24</v>
      </c>
      <c r="I713">
        <v>0</v>
      </c>
      <c r="J713">
        <v>13498.48</v>
      </c>
      <c r="K713" t="s">
        <v>17</v>
      </c>
      <c r="L713" t="s">
        <v>18</v>
      </c>
    </row>
    <row r="714" spans="1:12" x14ac:dyDescent="0.3">
      <c r="A714" t="s">
        <v>965</v>
      </c>
      <c r="B714" s="2">
        <v>45737</v>
      </c>
      <c r="C714" t="s">
        <v>122</v>
      </c>
      <c r="D714" t="s">
        <v>61</v>
      </c>
      <c r="E714" t="s">
        <v>52</v>
      </c>
      <c r="F714" t="s">
        <v>16</v>
      </c>
      <c r="G714">
        <v>1</v>
      </c>
      <c r="H714">
        <v>8114.9</v>
      </c>
      <c r="I714">
        <v>0.05</v>
      </c>
      <c r="J714">
        <v>7709.16</v>
      </c>
      <c r="K714" t="s">
        <v>37</v>
      </c>
      <c r="L714" t="s">
        <v>38</v>
      </c>
    </row>
    <row r="715" spans="1:12" x14ac:dyDescent="0.3">
      <c r="A715" t="s">
        <v>966</v>
      </c>
      <c r="B715" s="2">
        <v>45871</v>
      </c>
      <c r="C715" t="s">
        <v>466</v>
      </c>
      <c r="D715" t="s">
        <v>48</v>
      </c>
      <c r="E715" t="s">
        <v>49</v>
      </c>
      <c r="F715" t="s">
        <v>23</v>
      </c>
      <c r="G715">
        <v>1</v>
      </c>
      <c r="H715">
        <v>7106.72</v>
      </c>
      <c r="I715">
        <v>0.05</v>
      </c>
      <c r="J715">
        <v>6751.38</v>
      </c>
      <c r="K715" t="s">
        <v>24</v>
      </c>
      <c r="L715" t="s">
        <v>38</v>
      </c>
    </row>
    <row r="716" spans="1:12" x14ac:dyDescent="0.3">
      <c r="A716" t="s">
        <v>967</v>
      </c>
      <c r="B716" s="2">
        <v>46008</v>
      </c>
      <c r="C716" t="s">
        <v>360</v>
      </c>
      <c r="D716" t="s">
        <v>61</v>
      </c>
      <c r="E716" t="s">
        <v>62</v>
      </c>
      <c r="F716" t="s">
        <v>23</v>
      </c>
      <c r="G716">
        <v>1</v>
      </c>
      <c r="H716">
        <v>1180.1199999999999</v>
      </c>
      <c r="I716">
        <v>0.05</v>
      </c>
      <c r="J716">
        <v>1121.1099999999999</v>
      </c>
      <c r="K716" t="s">
        <v>24</v>
      </c>
      <c r="L716" t="s">
        <v>38</v>
      </c>
    </row>
    <row r="717" spans="1:12" x14ac:dyDescent="0.3">
      <c r="A717" t="s">
        <v>968</v>
      </c>
      <c r="B717" s="2">
        <v>45802</v>
      </c>
      <c r="C717" t="s">
        <v>256</v>
      </c>
      <c r="D717" t="s">
        <v>45</v>
      </c>
      <c r="E717" t="s">
        <v>62</v>
      </c>
      <c r="F717" t="s">
        <v>23</v>
      </c>
      <c r="G717">
        <v>1</v>
      </c>
      <c r="H717">
        <v>1203.03</v>
      </c>
      <c r="I717">
        <v>0.2</v>
      </c>
      <c r="J717">
        <v>962.42</v>
      </c>
      <c r="K717" t="s">
        <v>17</v>
      </c>
      <c r="L717" t="s">
        <v>18</v>
      </c>
    </row>
    <row r="718" spans="1:12" x14ac:dyDescent="0.3">
      <c r="A718" t="s">
        <v>969</v>
      </c>
      <c r="B718" s="2">
        <v>46022</v>
      </c>
      <c r="C718" t="s">
        <v>360</v>
      </c>
      <c r="D718" t="s">
        <v>61</v>
      </c>
      <c r="E718" t="s">
        <v>28</v>
      </c>
      <c r="F718" t="s">
        <v>16</v>
      </c>
      <c r="G718">
        <v>1</v>
      </c>
      <c r="H718">
        <v>3379.23</v>
      </c>
      <c r="I718">
        <v>0</v>
      </c>
      <c r="J718">
        <v>3379.23</v>
      </c>
      <c r="K718" t="s">
        <v>37</v>
      </c>
      <c r="L718" t="s">
        <v>18</v>
      </c>
    </row>
    <row r="719" spans="1:12" x14ac:dyDescent="0.3">
      <c r="A719" t="s">
        <v>970</v>
      </c>
      <c r="B719" s="2">
        <v>45699</v>
      </c>
      <c r="C719" t="s">
        <v>55</v>
      </c>
      <c r="D719" t="s">
        <v>45</v>
      </c>
      <c r="E719" t="s">
        <v>15</v>
      </c>
      <c r="F719" t="s">
        <v>16</v>
      </c>
      <c r="G719">
        <v>4</v>
      </c>
      <c r="H719">
        <v>23050.12</v>
      </c>
      <c r="I719">
        <v>0</v>
      </c>
      <c r="J719">
        <v>92200.48</v>
      </c>
      <c r="K719" t="s">
        <v>17</v>
      </c>
      <c r="L719" t="s">
        <v>38</v>
      </c>
    </row>
    <row r="720" spans="1:12" x14ac:dyDescent="0.3">
      <c r="A720" t="s">
        <v>971</v>
      </c>
      <c r="B720" s="2">
        <v>45850</v>
      </c>
      <c r="C720" t="s">
        <v>111</v>
      </c>
      <c r="D720" t="s">
        <v>27</v>
      </c>
      <c r="E720" t="s">
        <v>49</v>
      </c>
      <c r="F720" t="s">
        <v>23</v>
      </c>
      <c r="G720">
        <v>2</v>
      </c>
      <c r="H720">
        <v>5915.23</v>
      </c>
      <c r="I720">
        <v>0.2</v>
      </c>
      <c r="J720">
        <v>9464.3700000000008</v>
      </c>
      <c r="K720" t="s">
        <v>17</v>
      </c>
      <c r="L720" t="s">
        <v>29</v>
      </c>
    </row>
    <row r="721" spans="1:12" x14ac:dyDescent="0.3">
      <c r="A721" t="s">
        <v>972</v>
      </c>
      <c r="B721" s="2">
        <v>45719</v>
      </c>
      <c r="C721" t="s">
        <v>899</v>
      </c>
      <c r="D721" t="s">
        <v>45</v>
      </c>
      <c r="E721" t="s">
        <v>41</v>
      </c>
      <c r="F721" t="s">
        <v>42</v>
      </c>
      <c r="G721">
        <v>1</v>
      </c>
      <c r="H721">
        <v>1446.22</v>
      </c>
      <c r="I721">
        <v>0</v>
      </c>
      <c r="J721">
        <v>1446.22</v>
      </c>
      <c r="K721" t="s">
        <v>32</v>
      </c>
      <c r="L721" t="s">
        <v>18</v>
      </c>
    </row>
    <row r="722" spans="1:12" x14ac:dyDescent="0.3">
      <c r="A722" t="s">
        <v>973</v>
      </c>
      <c r="B722" s="2">
        <v>45754</v>
      </c>
      <c r="C722" t="s">
        <v>31</v>
      </c>
      <c r="D722" t="s">
        <v>45</v>
      </c>
      <c r="E722" t="s">
        <v>56</v>
      </c>
      <c r="F722" t="s">
        <v>16</v>
      </c>
      <c r="G722">
        <v>3</v>
      </c>
      <c r="H722">
        <v>29466.58</v>
      </c>
      <c r="I722">
        <v>0</v>
      </c>
      <c r="J722">
        <v>88399.74</v>
      </c>
      <c r="K722" t="s">
        <v>17</v>
      </c>
      <c r="L722" t="s">
        <v>18</v>
      </c>
    </row>
    <row r="723" spans="1:12" x14ac:dyDescent="0.3">
      <c r="A723" t="s">
        <v>974</v>
      </c>
      <c r="B723" s="2">
        <v>45876</v>
      </c>
      <c r="C723" t="s">
        <v>386</v>
      </c>
      <c r="D723" t="s">
        <v>21</v>
      </c>
      <c r="E723" t="s">
        <v>49</v>
      </c>
      <c r="F723" t="s">
        <v>23</v>
      </c>
      <c r="G723">
        <v>1</v>
      </c>
      <c r="H723">
        <v>7012.11</v>
      </c>
      <c r="I723">
        <v>0.15</v>
      </c>
      <c r="J723">
        <v>5960.29</v>
      </c>
      <c r="K723" t="s">
        <v>17</v>
      </c>
      <c r="L723" t="s">
        <v>18</v>
      </c>
    </row>
    <row r="724" spans="1:12" x14ac:dyDescent="0.3">
      <c r="A724" t="s">
        <v>975</v>
      </c>
      <c r="B724" s="2">
        <v>45662</v>
      </c>
      <c r="C724" t="s">
        <v>976</v>
      </c>
      <c r="D724" t="s">
        <v>45</v>
      </c>
      <c r="E724" t="s">
        <v>52</v>
      </c>
      <c r="F724" t="s">
        <v>16</v>
      </c>
      <c r="G724">
        <v>1</v>
      </c>
      <c r="H724">
        <v>8085.66</v>
      </c>
      <c r="I724">
        <v>0.05</v>
      </c>
      <c r="J724">
        <v>7681.38</v>
      </c>
      <c r="K724" t="s">
        <v>24</v>
      </c>
      <c r="L724" t="s">
        <v>18</v>
      </c>
    </row>
    <row r="725" spans="1:12" x14ac:dyDescent="0.3">
      <c r="A725" t="s">
        <v>977</v>
      </c>
      <c r="B725" s="2">
        <v>45934</v>
      </c>
      <c r="C725" t="s">
        <v>978</v>
      </c>
      <c r="D725" t="s">
        <v>14</v>
      </c>
      <c r="E725" t="s">
        <v>52</v>
      </c>
      <c r="F725" t="s">
        <v>16</v>
      </c>
      <c r="G725">
        <v>3</v>
      </c>
      <c r="H725">
        <v>7631.44</v>
      </c>
      <c r="I725">
        <v>0.1</v>
      </c>
      <c r="J725">
        <v>20604.89</v>
      </c>
      <c r="K725" t="s">
        <v>37</v>
      </c>
      <c r="L725" t="s">
        <v>18</v>
      </c>
    </row>
    <row r="726" spans="1:12" x14ac:dyDescent="0.3">
      <c r="A726" t="s">
        <v>979</v>
      </c>
      <c r="B726" s="2">
        <v>45841</v>
      </c>
      <c r="C726" t="s">
        <v>182</v>
      </c>
      <c r="D726" t="s">
        <v>61</v>
      </c>
      <c r="E726" t="s">
        <v>62</v>
      </c>
      <c r="F726" t="s">
        <v>23</v>
      </c>
      <c r="G726">
        <v>1</v>
      </c>
      <c r="H726">
        <v>1100.8699999999999</v>
      </c>
      <c r="I726">
        <v>0</v>
      </c>
      <c r="J726">
        <v>1100.8699999999999</v>
      </c>
      <c r="K726" t="s">
        <v>24</v>
      </c>
      <c r="L726" t="s">
        <v>18</v>
      </c>
    </row>
    <row r="727" spans="1:12" x14ac:dyDescent="0.3">
      <c r="A727" t="s">
        <v>980</v>
      </c>
      <c r="B727" s="2">
        <v>45868</v>
      </c>
      <c r="C727" t="s">
        <v>838</v>
      </c>
      <c r="D727" t="s">
        <v>48</v>
      </c>
      <c r="E727" t="s">
        <v>35</v>
      </c>
      <c r="F727" t="s">
        <v>36</v>
      </c>
      <c r="G727">
        <v>3</v>
      </c>
      <c r="H727">
        <v>1911.85</v>
      </c>
      <c r="I727">
        <v>0</v>
      </c>
      <c r="J727">
        <v>5735.55</v>
      </c>
      <c r="K727" t="s">
        <v>17</v>
      </c>
      <c r="L727" t="s">
        <v>29</v>
      </c>
    </row>
    <row r="728" spans="1:12" x14ac:dyDescent="0.3">
      <c r="A728" t="s">
        <v>981</v>
      </c>
      <c r="B728" s="2">
        <v>45719</v>
      </c>
      <c r="C728" t="s">
        <v>345</v>
      </c>
      <c r="D728" t="s">
        <v>14</v>
      </c>
      <c r="E728" t="s">
        <v>52</v>
      </c>
      <c r="F728" t="s">
        <v>16</v>
      </c>
      <c r="G728">
        <v>3</v>
      </c>
      <c r="H728">
        <v>7551.21</v>
      </c>
      <c r="I728">
        <v>0</v>
      </c>
      <c r="J728">
        <v>22653.63</v>
      </c>
      <c r="K728" t="s">
        <v>37</v>
      </c>
      <c r="L728" t="s">
        <v>18</v>
      </c>
    </row>
    <row r="729" spans="1:12" x14ac:dyDescent="0.3">
      <c r="A729" t="s">
        <v>982</v>
      </c>
      <c r="B729" s="2">
        <v>45854</v>
      </c>
      <c r="C729" t="s">
        <v>242</v>
      </c>
      <c r="D729" t="s">
        <v>21</v>
      </c>
      <c r="E729" t="s">
        <v>22</v>
      </c>
      <c r="F729" t="s">
        <v>23</v>
      </c>
      <c r="G729">
        <v>4</v>
      </c>
      <c r="H729">
        <v>5597.92</v>
      </c>
      <c r="I729">
        <v>0</v>
      </c>
      <c r="J729">
        <v>22391.68</v>
      </c>
      <c r="K729" t="s">
        <v>32</v>
      </c>
      <c r="L729" t="s">
        <v>29</v>
      </c>
    </row>
    <row r="730" spans="1:12" x14ac:dyDescent="0.3">
      <c r="A730" t="s">
        <v>983</v>
      </c>
      <c r="B730" s="2">
        <v>45714</v>
      </c>
      <c r="C730" t="s">
        <v>316</v>
      </c>
      <c r="D730" t="s">
        <v>21</v>
      </c>
      <c r="E730" t="s">
        <v>28</v>
      </c>
      <c r="F730" t="s">
        <v>16</v>
      </c>
      <c r="G730">
        <v>2</v>
      </c>
      <c r="H730">
        <v>3209.71</v>
      </c>
      <c r="I730">
        <v>0.1</v>
      </c>
      <c r="J730">
        <v>5777.48</v>
      </c>
      <c r="K730" t="s">
        <v>24</v>
      </c>
      <c r="L730" t="s">
        <v>18</v>
      </c>
    </row>
    <row r="731" spans="1:12" x14ac:dyDescent="0.3">
      <c r="A731" t="s">
        <v>984</v>
      </c>
      <c r="B731" s="2">
        <v>45909</v>
      </c>
      <c r="C731" t="s">
        <v>259</v>
      </c>
      <c r="D731" t="s">
        <v>61</v>
      </c>
      <c r="E731" t="s">
        <v>41</v>
      </c>
      <c r="F731" t="s">
        <v>42</v>
      </c>
      <c r="G731">
        <v>1</v>
      </c>
      <c r="H731">
        <v>1551.03</v>
      </c>
      <c r="I731">
        <v>0.05</v>
      </c>
      <c r="J731">
        <v>1473.48</v>
      </c>
      <c r="K731" t="s">
        <v>32</v>
      </c>
      <c r="L731" t="s">
        <v>18</v>
      </c>
    </row>
    <row r="732" spans="1:12" x14ac:dyDescent="0.3">
      <c r="A732" t="s">
        <v>985</v>
      </c>
      <c r="B732" s="2">
        <v>45978</v>
      </c>
      <c r="C732" t="s">
        <v>528</v>
      </c>
      <c r="D732" t="s">
        <v>27</v>
      </c>
      <c r="E732" t="s">
        <v>41</v>
      </c>
      <c r="F732" t="s">
        <v>42</v>
      </c>
      <c r="G732">
        <v>2</v>
      </c>
      <c r="H732">
        <v>1699.19</v>
      </c>
      <c r="I732">
        <v>0</v>
      </c>
      <c r="J732">
        <v>3398.38</v>
      </c>
      <c r="K732" t="s">
        <v>37</v>
      </c>
      <c r="L732" t="s">
        <v>18</v>
      </c>
    </row>
    <row r="733" spans="1:12" x14ac:dyDescent="0.3">
      <c r="A733" t="s">
        <v>986</v>
      </c>
      <c r="B733" s="2">
        <v>45803</v>
      </c>
      <c r="C733" t="s">
        <v>632</v>
      </c>
      <c r="D733" t="s">
        <v>48</v>
      </c>
      <c r="E733" t="s">
        <v>15</v>
      </c>
      <c r="F733" t="s">
        <v>16</v>
      </c>
      <c r="G733">
        <v>1</v>
      </c>
      <c r="H733">
        <v>21046.59</v>
      </c>
      <c r="I733">
        <v>0.1</v>
      </c>
      <c r="J733">
        <v>18941.93</v>
      </c>
      <c r="K733" t="s">
        <v>32</v>
      </c>
      <c r="L733" t="s">
        <v>29</v>
      </c>
    </row>
    <row r="734" spans="1:12" x14ac:dyDescent="0.3">
      <c r="A734" t="s">
        <v>987</v>
      </c>
      <c r="B734" s="2">
        <v>45967</v>
      </c>
      <c r="C734" t="s">
        <v>454</v>
      </c>
      <c r="D734" t="s">
        <v>61</v>
      </c>
      <c r="E734" t="s">
        <v>22</v>
      </c>
      <c r="F734" t="s">
        <v>23</v>
      </c>
      <c r="G734">
        <v>1</v>
      </c>
      <c r="H734">
        <v>5582.7</v>
      </c>
      <c r="I734">
        <v>0.05</v>
      </c>
      <c r="J734">
        <v>5303.56</v>
      </c>
      <c r="K734" t="s">
        <v>32</v>
      </c>
      <c r="L734" t="s">
        <v>18</v>
      </c>
    </row>
    <row r="735" spans="1:12" x14ac:dyDescent="0.3">
      <c r="A735" t="s">
        <v>988</v>
      </c>
      <c r="B735" s="2">
        <v>45912</v>
      </c>
      <c r="C735" t="s">
        <v>206</v>
      </c>
      <c r="D735" t="s">
        <v>14</v>
      </c>
      <c r="E735" t="s">
        <v>49</v>
      </c>
      <c r="F735" t="s">
        <v>23</v>
      </c>
      <c r="G735">
        <v>1</v>
      </c>
      <c r="H735">
        <v>6167.19</v>
      </c>
      <c r="I735">
        <v>0.15</v>
      </c>
      <c r="J735">
        <v>5242.1099999999997</v>
      </c>
      <c r="K735" t="s">
        <v>24</v>
      </c>
      <c r="L735" t="s">
        <v>18</v>
      </c>
    </row>
    <row r="736" spans="1:12" x14ac:dyDescent="0.3">
      <c r="A736" t="s">
        <v>989</v>
      </c>
      <c r="B736" s="2">
        <v>45861</v>
      </c>
      <c r="C736" t="s">
        <v>244</v>
      </c>
      <c r="D736" t="s">
        <v>14</v>
      </c>
      <c r="E736" t="s">
        <v>15</v>
      </c>
      <c r="F736" t="s">
        <v>16</v>
      </c>
      <c r="G736">
        <v>3</v>
      </c>
      <c r="H736">
        <v>20762.439999999999</v>
      </c>
      <c r="I736">
        <v>0.2</v>
      </c>
      <c r="J736">
        <v>49829.86</v>
      </c>
      <c r="K736" t="s">
        <v>24</v>
      </c>
      <c r="L736" t="s">
        <v>29</v>
      </c>
    </row>
    <row r="737" spans="1:12" x14ac:dyDescent="0.3">
      <c r="A737" t="s">
        <v>990</v>
      </c>
      <c r="B737" s="2">
        <v>45745</v>
      </c>
      <c r="C737" t="s">
        <v>272</v>
      </c>
      <c r="D737" t="s">
        <v>27</v>
      </c>
      <c r="E737" t="s">
        <v>15</v>
      </c>
      <c r="F737" t="s">
        <v>16</v>
      </c>
      <c r="G737">
        <v>2</v>
      </c>
      <c r="H737">
        <v>19107.04</v>
      </c>
      <c r="I737">
        <v>0</v>
      </c>
      <c r="J737">
        <v>38214.080000000002</v>
      </c>
      <c r="K737" t="s">
        <v>17</v>
      </c>
      <c r="L737" t="s">
        <v>18</v>
      </c>
    </row>
    <row r="738" spans="1:12" x14ac:dyDescent="0.3">
      <c r="A738" t="s">
        <v>991</v>
      </c>
      <c r="B738" s="2">
        <v>46016</v>
      </c>
      <c r="C738" t="s">
        <v>390</v>
      </c>
      <c r="D738" t="s">
        <v>109</v>
      </c>
      <c r="E738" t="s">
        <v>62</v>
      </c>
      <c r="F738" t="s">
        <v>23</v>
      </c>
      <c r="G738">
        <v>1</v>
      </c>
      <c r="H738">
        <v>1154.27</v>
      </c>
      <c r="I738">
        <v>0</v>
      </c>
      <c r="J738">
        <v>1154.27</v>
      </c>
      <c r="K738" t="s">
        <v>24</v>
      </c>
      <c r="L738" t="s">
        <v>18</v>
      </c>
    </row>
    <row r="739" spans="1:12" x14ac:dyDescent="0.3">
      <c r="A739" t="s">
        <v>992</v>
      </c>
      <c r="B739" s="2">
        <v>45909</v>
      </c>
      <c r="C739" t="s">
        <v>339</v>
      </c>
      <c r="D739" t="s">
        <v>109</v>
      </c>
      <c r="E739" t="s">
        <v>35</v>
      </c>
      <c r="F739" t="s">
        <v>36</v>
      </c>
      <c r="G739">
        <v>3</v>
      </c>
      <c r="H739">
        <v>1620.97</v>
      </c>
      <c r="I739">
        <v>0.05</v>
      </c>
      <c r="J739">
        <v>4619.76</v>
      </c>
      <c r="K739" t="s">
        <v>24</v>
      </c>
      <c r="L739" t="s">
        <v>18</v>
      </c>
    </row>
    <row r="740" spans="1:12" x14ac:dyDescent="0.3">
      <c r="A740" t="s">
        <v>993</v>
      </c>
      <c r="B740" s="2">
        <v>45983</v>
      </c>
      <c r="C740" t="s">
        <v>248</v>
      </c>
      <c r="D740" t="s">
        <v>45</v>
      </c>
      <c r="E740" t="s">
        <v>52</v>
      </c>
      <c r="F740" t="s">
        <v>16</v>
      </c>
      <c r="G740">
        <v>1</v>
      </c>
      <c r="H740">
        <v>7780.78</v>
      </c>
      <c r="I740">
        <v>0.05</v>
      </c>
      <c r="J740">
        <v>7391.74</v>
      </c>
      <c r="K740" t="s">
        <v>24</v>
      </c>
      <c r="L740" t="s">
        <v>18</v>
      </c>
    </row>
    <row r="741" spans="1:12" x14ac:dyDescent="0.3">
      <c r="A741" t="s">
        <v>994</v>
      </c>
      <c r="B741" s="2">
        <v>45750</v>
      </c>
      <c r="C741" t="s">
        <v>698</v>
      </c>
      <c r="D741" t="s">
        <v>27</v>
      </c>
      <c r="E741" t="s">
        <v>52</v>
      </c>
      <c r="F741" t="s">
        <v>16</v>
      </c>
      <c r="G741">
        <v>2</v>
      </c>
      <c r="H741">
        <v>6853.39</v>
      </c>
      <c r="I741">
        <v>0</v>
      </c>
      <c r="J741">
        <v>13706.78</v>
      </c>
      <c r="K741" t="s">
        <v>17</v>
      </c>
      <c r="L741" t="s">
        <v>18</v>
      </c>
    </row>
    <row r="742" spans="1:12" x14ac:dyDescent="0.3">
      <c r="A742" t="s">
        <v>995</v>
      </c>
      <c r="B742" s="2">
        <v>45868</v>
      </c>
      <c r="C742" t="s">
        <v>542</v>
      </c>
      <c r="D742" t="s">
        <v>109</v>
      </c>
      <c r="E742" t="s">
        <v>22</v>
      </c>
      <c r="F742" t="s">
        <v>23</v>
      </c>
      <c r="G742">
        <v>1</v>
      </c>
      <c r="H742">
        <v>4961.99</v>
      </c>
      <c r="I742">
        <v>0.1</v>
      </c>
      <c r="J742">
        <v>4465.79</v>
      </c>
      <c r="K742" t="s">
        <v>37</v>
      </c>
      <c r="L742" t="s">
        <v>18</v>
      </c>
    </row>
    <row r="743" spans="1:12" x14ac:dyDescent="0.3">
      <c r="A743" t="s">
        <v>996</v>
      </c>
      <c r="B743" s="2">
        <v>45916</v>
      </c>
      <c r="C743" t="s">
        <v>769</v>
      </c>
      <c r="D743" t="s">
        <v>27</v>
      </c>
      <c r="E743" t="s">
        <v>15</v>
      </c>
      <c r="F743" t="s">
        <v>16</v>
      </c>
      <c r="G743">
        <v>1</v>
      </c>
      <c r="H743">
        <v>22909.599999999999</v>
      </c>
      <c r="I743">
        <v>0.2</v>
      </c>
      <c r="J743">
        <v>18327.68</v>
      </c>
      <c r="K743" t="s">
        <v>37</v>
      </c>
      <c r="L743" t="s">
        <v>18</v>
      </c>
    </row>
    <row r="744" spans="1:12" x14ac:dyDescent="0.3">
      <c r="A744" t="s">
        <v>997</v>
      </c>
      <c r="B744" s="2">
        <v>45981</v>
      </c>
      <c r="C744" t="s">
        <v>234</v>
      </c>
      <c r="D744" t="s">
        <v>48</v>
      </c>
      <c r="E744" t="s">
        <v>15</v>
      </c>
      <c r="F744" t="s">
        <v>16</v>
      </c>
      <c r="G744">
        <v>1</v>
      </c>
      <c r="H744">
        <v>22166.46</v>
      </c>
      <c r="I744">
        <v>0.05</v>
      </c>
      <c r="J744">
        <v>21058.14</v>
      </c>
      <c r="K744" t="s">
        <v>37</v>
      </c>
      <c r="L744" t="s">
        <v>18</v>
      </c>
    </row>
    <row r="745" spans="1:12" x14ac:dyDescent="0.3">
      <c r="A745" t="s">
        <v>998</v>
      </c>
      <c r="B745" s="2">
        <v>45906</v>
      </c>
      <c r="C745" t="s">
        <v>393</v>
      </c>
      <c r="D745" t="s">
        <v>21</v>
      </c>
      <c r="E745" t="s">
        <v>84</v>
      </c>
      <c r="F745" t="s">
        <v>42</v>
      </c>
      <c r="G745">
        <v>1</v>
      </c>
      <c r="H745">
        <v>2912.88</v>
      </c>
      <c r="I745">
        <v>0</v>
      </c>
      <c r="J745">
        <v>2912.88</v>
      </c>
      <c r="K745" t="s">
        <v>24</v>
      </c>
      <c r="L745" t="s">
        <v>18</v>
      </c>
    </row>
    <row r="746" spans="1:12" x14ac:dyDescent="0.3">
      <c r="A746" t="s">
        <v>999</v>
      </c>
      <c r="B746" s="2">
        <v>45884</v>
      </c>
      <c r="C746" t="s">
        <v>564</v>
      </c>
      <c r="D746" t="s">
        <v>109</v>
      </c>
      <c r="E746" t="s">
        <v>84</v>
      </c>
      <c r="F746" t="s">
        <v>42</v>
      </c>
      <c r="G746">
        <v>2</v>
      </c>
      <c r="H746">
        <v>2974.51</v>
      </c>
      <c r="I746">
        <v>0</v>
      </c>
      <c r="J746">
        <v>5949.02</v>
      </c>
      <c r="K746" t="s">
        <v>32</v>
      </c>
      <c r="L746" t="s">
        <v>29</v>
      </c>
    </row>
    <row r="747" spans="1:12" x14ac:dyDescent="0.3">
      <c r="A747" t="s">
        <v>1000</v>
      </c>
      <c r="B747" s="2">
        <v>45925</v>
      </c>
      <c r="C747" t="s">
        <v>137</v>
      </c>
      <c r="D747" t="s">
        <v>109</v>
      </c>
      <c r="E747" t="s">
        <v>84</v>
      </c>
      <c r="F747" t="s">
        <v>42</v>
      </c>
      <c r="G747">
        <v>5</v>
      </c>
      <c r="H747">
        <v>2890.9</v>
      </c>
      <c r="I747">
        <v>0</v>
      </c>
      <c r="J747">
        <v>14454.5</v>
      </c>
      <c r="K747" t="s">
        <v>37</v>
      </c>
      <c r="L747" t="s">
        <v>18</v>
      </c>
    </row>
    <row r="748" spans="1:12" x14ac:dyDescent="0.3">
      <c r="A748" t="s">
        <v>1001</v>
      </c>
      <c r="B748" s="2">
        <v>45875</v>
      </c>
      <c r="C748" t="s">
        <v>520</v>
      </c>
      <c r="D748" t="s">
        <v>48</v>
      </c>
      <c r="E748" t="s">
        <v>49</v>
      </c>
      <c r="F748" t="s">
        <v>23</v>
      </c>
      <c r="G748">
        <v>2</v>
      </c>
      <c r="H748">
        <v>6188.92</v>
      </c>
      <c r="I748">
        <v>0</v>
      </c>
      <c r="J748">
        <v>12377.84</v>
      </c>
      <c r="K748" t="s">
        <v>17</v>
      </c>
      <c r="L748" t="s">
        <v>18</v>
      </c>
    </row>
    <row r="749" spans="1:12" x14ac:dyDescent="0.3">
      <c r="A749" t="s">
        <v>1002</v>
      </c>
      <c r="B749" s="2">
        <v>45894</v>
      </c>
      <c r="C749" t="s">
        <v>617</v>
      </c>
      <c r="D749" t="s">
        <v>45</v>
      </c>
      <c r="E749" t="s">
        <v>62</v>
      </c>
      <c r="F749" t="s">
        <v>23</v>
      </c>
      <c r="G749">
        <v>2</v>
      </c>
      <c r="H749">
        <v>1086.5</v>
      </c>
      <c r="I749">
        <v>0.05</v>
      </c>
      <c r="J749">
        <v>2064.35</v>
      </c>
      <c r="K749" t="s">
        <v>24</v>
      </c>
      <c r="L749" t="s">
        <v>38</v>
      </c>
    </row>
    <row r="750" spans="1:12" x14ac:dyDescent="0.3">
      <c r="A750" t="s">
        <v>1003</v>
      </c>
      <c r="B750" s="2">
        <v>45856</v>
      </c>
      <c r="C750" t="s">
        <v>293</v>
      </c>
      <c r="D750" t="s">
        <v>27</v>
      </c>
      <c r="E750" t="s">
        <v>56</v>
      </c>
      <c r="F750" t="s">
        <v>16</v>
      </c>
      <c r="G750">
        <v>2</v>
      </c>
      <c r="H750">
        <v>27698.55</v>
      </c>
      <c r="I750">
        <v>0</v>
      </c>
      <c r="J750">
        <v>55397.1</v>
      </c>
      <c r="K750" t="s">
        <v>37</v>
      </c>
      <c r="L750" t="s">
        <v>38</v>
      </c>
    </row>
    <row r="751" spans="1:12" x14ac:dyDescent="0.3">
      <c r="A751" t="s">
        <v>1004</v>
      </c>
      <c r="B751" s="2">
        <v>45871</v>
      </c>
      <c r="C751" t="s">
        <v>92</v>
      </c>
      <c r="D751" t="s">
        <v>27</v>
      </c>
      <c r="E751" t="s">
        <v>84</v>
      </c>
      <c r="F751" t="s">
        <v>42</v>
      </c>
      <c r="G751">
        <v>1</v>
      </c>
      <c r="H751">
        <v>2972.46</v>
      </c>
      <c r="I751">
        <v>0.1</v>
      </c>
      <c r="J751">
        <v>2675.21</v>
      </c>
      <c r="K751" t="s">
        <v>17</v>
      </c>
      <c r="L751" t="s">
        <v>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4"/>
  <sheetViews>
    <sheetView workbookViewId="0"/>
  </sheetViews>
  <sheetFormatPr defaultRowHeight="14.4" x14ac:dyDescent="0.3"/>
  <sheetData>
    <row r="1" spans="1:1" x14ac:dyDescent="0.3">
      <c r="A1" s="1" t="s">
        <v>1005</v>
      </c>
    </row>
    <row r="2" spans="1:1" x14ac:dyDescent="0.3">
      <c r="A2" t="s">
        <v>1006</v>
      </c>
    </row>
    <row r="3" spans="1:1" x14ac:dyDescent="0.3">
      <c r="A3" t="s">
        <v>1007</v>
      </c>
    </row>
    <row r="4" spans="1:1" x14ac:dyDescent="0.3">
      <c r="A4" t="s">
        <v>1008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Sayfa1</vt:lpstr>
      <vt:lpstr>Sales_Data</vt:lpstr>
      <vt:lpstr>Read_Me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Nazan ATİK</cp:lastModifiedBy>
  <dcterms:created xsi:type="dcterms:W3CDTF">2026-09-06T20:07:26Z</dcterms:created>
  <dcterms:modified xsi:type="dcterms:W3CDTF">2026-09-06T21:39:54Z</dcterms:modified>
</cp:coreProperties>
</file>